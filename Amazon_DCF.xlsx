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0183161846bf14/WSP/"/>
    </mc:Choice>
  </mc:AlternateContent>
  <xr:revisionPtr revIDLastSave="35" documentId="8_{29AC9220-ECDF-4767-986B-7165EA67D894}" xr6:coauthVersionLast="47" xr6:coauthVersionMax="47" xr10:uidLastSave="{758D83C0-86EF-40BE-A4EB-6D86F408DB1A}"/>
  <bookViews>
    <workbookView xWindow="-120" yWindow="-120" windowWidth="29040" windowHeight="15720" xr2:uid="{805104BF-676A-432A-8646-C2E8250C9F99}"/>
  </bookViews>
  <sheets>
    <sheet name="DCF" sheetId="1" r:id="rId1"/>
    <sheet name="WACC" sheetId="2" r:id="rId2"/>
    <sheet name="3 Statement Model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57" i="1"/>
  <c r="C57" i="1"/>
  <c r="I56" i="1"/>
  <c r="H56" i="1"/>
  <c r="C7" i="2"/>
  <c r="H43" i="2" s="1"/>
  <c r="E22" i="1"/>
  <c r="F22" i="1"/>
  <c r="G22" i="1"/>
  <c r="H22" i="1"/>
  <c r="D32" i="1"/>
  <c r="F27" i="1"/>
  <c r="E27" i="1"/>
  <c r="D14" i="1"/>
  <c r="D25" i="1"/>
  <c r="B46" i="2"/>
  <c r="C43" i="2"/>
  <c r="G42" i="2"/>
  <c r="I42" i="2" s="1"/>
  <c r="F42" i="2"/>
  <c r="I41" i="2"/>
  <c r="G41" i="2"/>
  <c r="F41" i="2"/>
  <c r="G40" i="2"/>
  <c r="I40" i="2" s="1"/>
  <c r="F40" i="2"/>
  <c r="C29" i="2"/>
  <c r="C30" i="2" s="1"/>
  <c r="C27" i="2"/>
  <c r="C26" i="2" s="1"/>
  <c r="F25" i="2"/>
  <c r="D25" i="2"/>
  <c r="D19" i="2"/>
  <c r="C11" i="2"/>
  <c r="C13" i="2" s="1"/>
  <c r="F194" i="3"/>
  <c r="G191" i="3"/>
  <c r="H191" i="3" s="1"/>
  <c r="I191" i="3" s="1"/>
  <c r="J191" i="3" s="1"/>
  <c r="E180" i="3"/>
  <c r="D180" i="3"/>
  <c r="B180" i="3"/>
  <c r="B179" i="3"/>
  <c r="H176" i="3"/>
  <c r="G176" i="3"/>
  <c r="F176" i="3"/>
  <c r="I175" i="3"/>
  <c r="I174" i="3" s="1"/>
  <c r="H174" i="3"/>
  <c r="G174" i="3"/>
  <c r="F174" i="3"/>
  <c r="H172" i="3"/>
  <c r="G172" i="3"/>
  <c r="F172" i="3"/>
  <c r="I171" i="3"/>
  <c r="I172" i="3" s="1"/>
  <c r="H170" i="3"/>
  <c r="G170" i="3"/>
  <c r="F170" i="3"/>
  <c r="H168" i="3"/>
  <c r="G168" i="3"/>
  <c r="F168" i="3"/>
  <c r="I167" i="3"/>
  <c r="J167" i="3" s="1"/>
  <c r="H166" i="3"/>
  <c r="G166" i="3"/>
  <c r="F166" i="3"/>
  <c r="H164" i="3"/>
  <c r="H163" i="3"/>
  <c r="I163" i="3" s="1"/>
  <c r="G163" i="3"/>
  <c r="G164" i="3" s="1"/>
  <c r="F163" i="3"/>
  <c r="F164" i="3" s="1"/>
  <c r="H162" i="3"/>
  <c r="G162" i="3"/>
  <c r="F162" i="3"/>
  <c r="I159" i="3"/>
  <c r="I42" i="3" s="1"/>
  <c r="H159" i="3"/>
  <c r="H42" i="3" s="1"/>
  <c r="G159" i="3"/>
  <c r="G42" i="3" s="1"/>
  <c r="F159" i="3"/>
  <c r="F42" i="3" s="1"/>
  <c r="E159" i="3"/>
  <c r="I158" i="3"/>
  <c r="H158" i="3"/>
  <c r="G158" i="3"/>
  <c r="F158" i="3"/>
  <c r="E158" i="3"/>
  <c r="H157" i="3"/>
  <c r="H40" i="3" s="1"/>
  <c r="G157" i="3"/>
  <c r="G40" i="3" s="1"/>
  <c r="F157" i="3"/>
  <c r="F40" i="3" s="1"/>
  <c r="E157" i="3"/>
  <c r="H156" i="3"/>
  <c r="H39" i="3" s="1"/>
  <c r="E156" i="3"/>
  <c r="C154" i="3"/>
  <c r="E138" i="3"/>
  <c r="D138" i="3"/>
  <c r="C138" i="3"/>
  <c r="F137" i="3"/>
  <c r="G137" i="3" s="1"/>
  <c r="H137" i="3" s="1"/>
  <c r="I137" i="3" s="1"/>
  <c r="J137" i="3" s="1"/>
  <c r="D134" i="3"/>
  <c r="D133" i="3"/>
  <c r="E132" i="3"/>
  <c r="E133" i="3" s="1"/>
  <c r="F133" i="3" s="1"/>
  <c r="D132" i="3"/>
  <c r="E129" i="3"/>
  <c r="E134" i="3" s="1"/>
  <c r="D129" i="3"/>
  <c r="C129" i="3"/>
  <c r="B127" i="3"/>
  <c r="B126" i="3"/>
  <c r="E122" i="3"/>
  <c r="F118" i="3" s="1"/>
  <c r="D122" i="3"/>
  <c r="C122" i="3"/>
  <c r="F121" i="3"/>
  <c r="F189" i="3" s="1"/>
  <c r="F120" i="3"/>
  <c r="G120" i="3" s="1"/>
  <c r="G90" i="3" s="1"/>
  <c r="E109" i="3"/>
  <c r="E107" i="3" s="1"/>
  <c r="E108" i="3" s="1"/>
  <c r="F108" i="3" s="1"/>
  <c r="G108" i="3" s="1"/>
  <c r="H108" i="3" s="1"/>
  <c r="I108" i="3" s="1"/>
  <c r="J108" i="3" s="1"/>
  <c r="D109" i="3"/>
  <c r="C109" i="3"/>
  <c r="C107" i="3" s="1"/>
  <c r="C108" i="3"/>
  <c r="D107" i="3"/>
  <c r="E104" i="3"/>
  <c r="F104" i="3" s="1"/>
  <c r="G104" i="3" s="1"/>
  <c r="D104" i="3"/>
  <c r="C104" i="3"/>
  <c r="E102" i="3"/>
  <c r="D102" i="3"/>
  <c r="F99" i="3"/>
  <c r="B97" i="3"/>
  <c r="B96" i="3"/>
  <c r="F90" i="3"/>
  <c r="F89" i="3"/>
  <c r="G88" i="3"/>
  <c r="F88" i="3"/>
  <c r="F91" i="3" s="1"/>
  <c r="H85" i="3"/>
  <c r="H86" i="3" s="1"/>
  <c r="G85" i="3"/>
  <c r="G86" i="3" s="1"/>
  <c r="F85" i="3"/>
  <c r="F86" i="3" s="1"/>
  <c r="B74" i="3"/>
  <c r="B73" i="3"/>
  <c r="E68" i="3"/>
  <c r="D68" i="3"/>
  <c r="F67" i="3"/>
  <c r="G67" i="3" s="1"/>
  <c r="H67" i="3" s="1"/>
  <c r="I67" i="3" s="1"/>
  <c r="J67" i="3" s="1"/>
  <c r="F64" i="3"/>
  <c r="G64" i="3" s="1"/>
  <c r="H64" i="3" s="1"/>
  <c r="I64" i="3" s="1"/>
  <c r="J64" i="3" s="1"/>
  <c r="F63" i="3"/>
  <c r="E61" i="3"/>
  <c r="D61" i="3"/>
  <c r="F59" i="3"/>
  <c r="G59" i="3" s="1"/>
  <c r="F58" i="3"/>
  <c r="G58" i="3" s="1"/>
  <c r="H58" i="3" s="1"/>
  <c r="I58" i="3" s="1"/>
  <c r="J58" i="3" s="1"/>
  <c r="E52" i="3"/>
  <c r="E115" i="3" s="1"/>
  <c r="F112" i="3" s="1"/>
  <c r="D52" i="3"/>
  <c r="D115" i="3" s="1"/>
  <c r="E48" i="3"/>
  <c r="C19" i="2" s="1"/>
  <c r="G43" i="2" s="1"/>
  <c r="D48" i="3"/>
  <c r="D53" i="3" s="1"/>
  <c r="D70" i="3" s="1"/>
  <c r="E47" i="3"/>
  <c r="B47" i="3"/>
  <c r="E46" i="3"/>
  <c r="B46" i="3"/>
  <c r="I43" i="3"/>
  <c r="J43" i="3" s="1"/>
  <c r="I22" i="1" s="1"/>
  <c r="H41" i="3"/>
  <c r="G41" i="3"/>
  <c r="F41" i="3"/>
  <c r="E41" i="3"/>
  <c r="D41" i="3"/>
  <c r="C41" i="3"/>
  <c r="E39" i="3"/>
  <c r="D39" i="3"/>
  <c r="G27" i="3"/>
  <c r="H27" i="3" s="1"/>
  <c r="I27" i="3" s="1"/>
  <c r="J27" i="3" s="1"/>
  <c r="F27" i="3"/>
  <c r="J23" i="3"/>
  <c r="I23" i="3"/>
  <c r="H23" i="3"/>
  <c r="G23" i="3"/>
  <c r="F23" i="3"/>
  <c r="E21" i="3"/>
  <c r="D21" i="3"/>
  <c r="C21" i="3"/>
  <c r="C42" i="3" s="1"/>
  <c r="C20" i="3"/>
  <c r="E19" i="3"/>
  <c r="D19" i="3"/>
  <c r="C19" i="3"/>
  <c r="E18" i="3"/>
  <c r="D18" i="3"/>
  <c r="C18" i="3"/>
  <c r="E16" i="3"/>
  <c r="F16" i="3" s="1"/>
  <c r="F180" i="3" s="1"/>
  <c r="D16" i="3"/>
  <c r="C16" i="3" s="1"/>
  <c r="C97" i="3" s="1"/>
  <c r="E15" i="3"/>
  <c r="E179" i="3" s="1"/>
  <c r="D15" i="3"/>
  <c r="D96" i="3" s="1"/>
  <c r="C15" i="3"/>
  <c r="C126" i="3" s="1"/>
  <c r="B2" i="3"/>
  <c r="D126" i="3" l="1"/>
  <c r="E126" i="3"/>
  <c r="G27" i="1"/>
  <c r="C62" i="1"/>
  <c r="F156" i="3"/>
  <c r="F39" i="3" s="1"/>
  <c r="F35" i="3" s="1"/>
  <c r="I176" i="3"/>
  <c r="E96" i="3"/>
  <c r="D108" i="3"/>
  <c r="G121" i="3"/>
  <c r="G89" i="3" s="1"/>
  <c r="G91" i="3" s="1"/>
  <c r="G156" i="3"/>
  <c r="G39" i="3" s="1"/>
  <c r="C8" i="2"/>
  <c r="G133" i="3"/>
  <c r="J166" i="3"/>
  <c r="J168" i="3"/>
  <c r="J157" i="3"/>
  <c r="J40" i="3" s="1"/>
  <c r="G101" i="3"/>
  <c r="H104" i="3"/>
  <c r="D127" i="3"/>
  <c r="D97" i="3"/>
  <c r="F155" i="3"/>
  <c r="F127" i="3"/>
  <c r="F74" i="3"/>
  <c r="G16" i="3"/>
  <c r="F97" i="3"/>
  <c r="J171" i="3"/>
  <c r="C40" i="3"/>
  <c r="C24" i="3"/>
  <c r="D42" i="3"/>
  <c r="D20" i="3"/>
  <c r="E20" i="3"/>
  <c r="D179" i="3"/>
  <c r="D46" i="3"/>
  <c r="E53" i="3"/>
  <c r="E70" i="3" s="1"/>
  <c r="I162" i="3"/>
  <c r="I164" i="3"/>
  <c r="J163" i="3"/>
  <c r="C180" i="3"/>
  <c r="C127" i="3"/>
  <c r="I156" i="3"/>
  <c r="I39" i="3" s="1"/>
  <c r="I100" i="3" s="1"/>
  <c r="F101" i="3"/>
  <c r="I170" i="3"/>
  <c r="I41" i="3"/>
  <c r="G132" i="3"/>
  <c r="H59" i="3"/>
  <c r="E42" i="3"/>
  <c r="C179" i="3"/>
  <c r="C96" i="3"/>
  <c r="D47" i="3"/>
  <c r="I166" i="3"/>
  <c r="I168" i="3"/>
  <c r="I157" i="3"/>
  <c r="I40" i="3" s="1"/>
  <c r="F47" i="3"/>
  <c r="F132" i="3"/>
  <c r="F134" i="3" s="1"/>
  <c r="H120" i="3"/>
  <c r="E127" i="3"/>
  <c r="E97" i="3"/>
  <c r="G63" i="3"/>
  <c r="J175" i="3"/>
  <c r="F15" i="3"/>
  <c r="F56" i="3" l="1"/>
  <c r="G56" i="3" s="1"/>
  <c r="H56" i="3" s="1"/>
  <c r="I56" i="3" s="1"/>
  <c r="F60" i="3"/>
  <c r="G60" i="3" s="1"/>
  <c r="F52" i="3"/>
  <c r="F115" i="3" s="1"/>
  <c r="H121" i="3"/>
  <c r="G189" i="3"/>
  <c r="F18" i="3"/>
  <c r="E14" i="1" s="1"/>
  <c r="F49" i="3"/>
  <c r="G49" i="3" s="1"/>
  <c r="F57" i="3"/>
  <c r="G57" i="3" s="1"/>
  <c r="H57" i="3" s="1"/>
  <c r="I57" i="3" s="1"/>
  <c r="F26" i="3"/>
  <c r="F129" i="3"/>
  <c r="H63" i="3"/>
  <c r="I85" i="3"/>
  <c r="F78" i="3"/>
  <c r="F190" i="3"/>
  <c r="F65" i="3"/>
  <c r="G35" i="3"/>
  <c r="E40" i="3"/>
  <c r="E24" i="3"/>
  <c r="D18" i="1" s="1"/>
  <c r="H132" i="3"/>
  <c r="I59" i="3"/>
  <c r="H88" i="3"/>
  <c r="D40" i="3"/>
  <c r="D24" i="3"/>
  <c r="F179" i="3"/>
  <c r="G15" i="3"/>
  <c r="F126" i="3"/>
  <c r="F154" i="3"/>
  <c r="F96" i="3"/>
  <c r="F46" i="3"/>
  <c r="F73" i="3"/>
  <c r="G134" i="3"/>
  <c r="H133" i="3"/>
  <c r="G180" i="3"/>
  <c r="G127" i="3"/>
  <c r="G74" i="3"/>
  <c r="H16" i="3"/>
  <c r="G97" i="3"/>
  <c r="G47" i="3"/>
  <c r="G155" i="3"/>
  <c r="I120" i="3"/>
  <c r="H90" i="3"/>
  <c r="J156" i="3"/>
  <c r="J39" i="3" s="1"/>
  <c r="J164" i="3"/>
  <c r="J162" i="3"/>
  <c r="C34" i="3"/>
  <c r="C36" i="3" s="1"/>
  <c r="C28" i="3"/>
  <c r="H89" i="3"/>
  <c r="H189" i="3"/>
  <c r="I121" i="3"/>
  <c r="F102" i="3"/>
  <c r="J170" i="3"/>
  <c r="J158" i="3"/>
  <c r="J41" i="3"/>
  <c r="J172" i="3"/>
  <c r="I104" i="3"/>
  <c r="H101" i="3"/>
  <c r="J174" i="3"/>
  <c r="J159" i="3"/>
  <c r="J42" i="3" s="1"/>
  <c r="J176" i="3"/>
  <c r="F82" i="3" l="1"/>
  <c r="F21" i="3"/>
  <c r="F107" i="3"/>
  <c r="F113" i="3" s="1"/>
  <c r="F114" i="3" s="1"/>
  <c r="F81" i="3" s="1"/>
  <c r="G52" i="3"/>
  <c r="G115" i="3" s="1"/>
  <c r="F22" i="3"/>
  <c r="G18" i="3"/>
  <c r="F14" i="1" s="1"/>
  <c r="F20" i="3"/>
  <c r="F19" i="3" s="1"/>
  <c r="F50" i="3" s="1"/>
  <c r="J56" i="3"/>
  <c r="H49" i="3"/>
  <c r="I49" i="3" s="1"/>
  <c r="I86" i="3"/>
  <c r="H27" i="1"/>
  <c r="D34" i="3"/>
  <c r="D36" i="3" s="1"/>
  <c r="D28" i="3"/>
  <c r="G99" i="3"/>
  <c r="G102" i="3" s="1"/>
  <c r="F51" i="3"/>
  <c r="J57" i="3"/>
  <c r="I89" i="3"/>
  <c r="I189" i="3"/>
  <c r="J121" i="3"/>
  <c r="I133" i="3"/>
  <c r="H134" i="3"/>
  <c r="H91" i="3"/>
  <c r="J120" i="3"/>
  <c r="J90" i="3" s="1"/>
  <c r="I90" i="3"/>
  <c r="G26" i="3"/>
  <c r="G129" i="3"/>
  <c r="I132" i="3"/>
  <c r="J59" i="3"/>
  <c r="I88" i="3"/>
  <c r="I91" i="3" s="1"/>
  <c r="C43" i="3"/>
  <c r="C31" i="3"/>
  <c r="J100" i="3"/>
  <c r="J85" i="3" s="1"/>
  <c r="H60" i="3"/>
  <c r="G82" i="3"/>
  <c r="I16" i="3"/>
  <c r="H180" i="3"/>
  <c r="H97" i="3"/>
  <c r="H47" i="3"/>
  <c r="H155" i="3"/>
  <c r="H74" i="3"/>
  <c r="H127" i="3"/>
  <c r="E34" i="3"/>
  <c r="E28" i="3"/>
  <c r="J104" i="3"/>
  <c r="I101" i="3"/>
  <c r="G126" i="3"/>
  <c r="G154" i="3"/>
  <c r="G46" i="3"/>
  <c r="G73" i="3"/>
  <c r="H15" i="3"/>
  <c r="G179" i="3"/>
  <c r="G96" i="3"/>
  <c r="G78" i="3"/>
  <c r="H35" i="3"/>
  <c r="G190" i="3"/>
  <c r="G195" i="3" s="1"/>
  <c r="I63" i="3"/>
  <c r="G112" i="3"/>
  <c r="G65" i="3"/>
  <c r="F195" i="3"/>
  <c r="F196" i="3" s="1"/>
  <c r="F183" i="3"/>
  <c r="F109" i="3" l="1"/>
  <c r="F33" i="3" s="1"/>
  <c r="F77" i="3" s="1"/>
  <c r="F24" i="3"/>
  <c r="E18" i="1" s="1"/>
  <c r="H52" i="3"/>
  <c r="I52" i="3" s="1"/>
  <c r="F55" i="3"/>
  <c r="F61" i="3" s="1"/>
  <c r="G22" i="3"/>
  <c r="G107" i="3"/>
  <c r="G113" i="3" s="1"/>
  <c r="G114" i="3" s="1"/>
  <c r="G81" i="3" s="1"/>
  <c r="H18" i="3"/>
  <c r="G14" i="1" s="1"/>
  <c r="G21" i="3"/>
  <c r="G20" i="3"/>
  <c r="G19" i="3" s="1"/>
  <c r="G50" i="3" s="1"/>
  <c r="E36" i="3"/>
  <c r="D16" i="1"/>
  <c r="J86" i="3"/>
  <c r="I27" i="1"/>
  <c r="J101" i="3"/>
  <c r="J63" i="3"/>
  <c r="H26" i="3"/>
  <c r="H129" i="3"/>
  <c r="J49" i="3"/>
  <c r="I134" i="3"/>
  <c r="J133" i="3"/>
  <c r="H78" i="3"/>
  <c r="H190" i="3"/>
  <c r="H195" i="3" s="1"/>
  <c r="I35" i="3"/>
  <c r="J89" i="3"/>
  <c r="J189" i="3"/>
  <c r="F197" i="3"/>
  <c r="G194" i="3"/>
  <c r="G196" i="3" s="1"/>
  <c r="I60" i="3"/>
  <c r="H82" i="3"/>
  <c r="C199" i="3"/>
  <c r="C182" i="3"/>
  <c r="C119" i="3"/>
  <c r="F79" i="3"/>
  <c r="H65" i="3"/>
  <c r="D43" i="3"/>
  <c r="D31" i="3"/>
  <c r="F186" i="3"/>
  <c r="G183" i="3"/>
  <c r="E43" i="3"/>
  <c r="D22" i="1" s="1"/>
  <c r="E31" i="3"/>
  <c r="J132" i="3"/>
  <c r="J88" i="3"/>
  <c r="J91" i="3" s="1"/>
  <c r="H126" i="3"/>
  <c r="H179" i="3"/>
  <c r="H154" i="3"/>
  <c r="H46" i="3"/>
  <c r="I15" i="3"/>
  <c r="H96" i="3"/>
  <c r="H73" i="3"/>
  <c r="H99" i="3"/>
  <c r="H102" i="3" s="1"/>
  <c r="G51" i="3"/>
  <c r="H112" i="3"/>
  <c r="I180" i="3"/>
  <c r="I74" i="3"/>
  <c r="J16" i="3"/>
  <c r="I155" i="3"/>
  <c r="I47" i="3"/>
  <c r="I97" i="3"/>
  <c r="I127" i="3"/>
  <c r="E32" i="1" l="1"/>
  <c r="F80" i="3"/>
  <c r="E25" i="1"/>
  <c r="F34" i="3"/>
  <c r="E16" i="1" s="1"/>
  <c r="G109" i="3"/>
  <c r="G33" i="3" s="1"/>
  <c r="G77" i="3" s="1"/>
  <c r="H115" i="3"/>
  <c r="I112" i="3" s="1"/>
  <c r="I18" i="3"/>
  <c r="H14" i="1" s="1"/>
  <c r="H21" i="3"/>
  <c r="H20" i="3"/>
  <c r="H19" i="3" s="1"/>
  <c r="H50" i="3" s="1"/>
  <c r="H107" i="3"/>
  <c r="H113" i="3" s="1"/>
  <c r="H22" i="3"/>
  <c r="G24" i="3"/>
  <c r="F18" i="1" s="1"/>
  <c r="J134" i="3"/>
  <c r="G55" i="3"/>
  <c r="G80" i="3" s="1"/>
  <c r="I190" i="3"/>
  <c r="I195" i="3" s="1"/>
  <c r="I78" i="3"/>
  <c r="J35" i="3"/>
  <c r="C187" i="3"/>
  <c r="C184" i="3"/>
  <c r="E199" i="3"/>
  <c r="E200" i="3" s="1"/>
  <c r="E182" i="3"/>
  <c r="E119" i="3"/>
  <c r="J60" i="3"/>
  <c r="J82" i="3" s="1"/>
  <c r="I82" i="3"/>
  <c r="I65" i="3"/>
  <c r="J74" i="3"/>
  <c r="J127" i="3"/>
  <c r="J47" i="3"/>
  <c r="J155" i="3"/>
  <c r="J180" i="3"/>
  <c r="J97" i="3"/>
  <c r="J52" i="3"/>
  <c r="J115" i="3" s="1"/>
  <c r="I115" i="3"/>
  <c r="J26" i="3"/>
  <c r="J129" i="3"/>
  <c r="D199" i="3"/>
  <c r="D200" i="3" s="1"/>
  <c r="D182" i="3"/>
  <c r="D119" i="3"/>
  <c r="I26" i="3"/>
  <c r="I129" i="3"/>
  <c r="I99" i="3"/>
  <c r="I102" i="3" s="1"/>
  <c r="H51" i="3"/>
  <c r="G197" i="3"/>
  <c r="H194" i="3"/>
  <c r="H196" i="3" s="1"/>
  <c r="G186" i="3"/>
  <c r="H183" i="3"/>
  <c r="I126" i="3"/>
  <c r="I96" i="3"/>
  <c r="I46" i="3"/>
  <c r="I154" i="3"/>
  <c r="I179" i="3"/>
  <c r="I73" i="3"/>
  <c r="J15" i="3"/>
  <c r="G79" i="3"/>
  <c r="F25" i="1" l="1"/>
  <c r="F36" i="3"/>
  <c r="H109" i="3"/>
  <c r="H33" i="3" s="1"/>
  <c r="H77" i="3" s="1"/>
  <c r="H114" i="3"/>
  <c r="H81" i="3" s="1"/>
  <c r="I20" i="3"/>
  <c r="I19" i="3" s="1"/>
  <c r="I50" i="3" s="1"/>
  <c r="I21" i="3"/>
  <c r="I22" i="3"/>
  <c r="J18" i="3"/>
  <c r="I14" i="1" s="1"/>
  <c r="H24" i="3"/>
  <c r="G18" i="1" s="1"/>
  <c r="I107" i="3"/>
  <c r="I113" i="3" s="1"/>
  <c r="I114" i="3" s="1"/>
  <c r="I81" i="3" s="1"/>
  <c r="G34" i="3"/>
  <c r="F16" i="1" s="1"/>
  <c r="F32" i="1"/>
  <c r="G61" i="3"/>
  <c r="H55" i="3"/>
  <c r="H80" i="3" s="1"/>
  <c r="E184" i="3"/>
  <c r="E187" i="3"/>
  <c r="I194" i="3"/>
  <c r="I196" i="3" s="1"/>
  <c r="H197" i="3"/>
  <c r="J154" i="3"/>
  <c r="J96" i="3"/>
  <c r="J46" i="3"/>
  <c r="J179" i="3"/>
  <c r="J73" i="3"/>
  <c r="J126" i="3"/>
  <c r="J112" i="3"/>
  <c r="H79" i="3"/>
  <c r="I51" i="3"/>
  <c r="J99" i="3"/>
  <c r="J102" i="3" s="1"/>
  <c r="J51" i="3" s="1"/>
  <c r="D187" i="3"/>
  <c r="D184" i="3"/>
  <c r="J65" i="3"/>
  <c r="J190" i="3"/>
  <c r="J195" i="3" s="1"/>
  <c r="J78" i="3"/>
  <c r="I183" i="3"/>
  <c r="H186" i="3"/>
  <c r="G25" i="1" l="1"/>
  <c r="I24" i="3"/>
  <c r="H18" i="1" s="1"/>
  <c r="G36" i="3"/>
  <c r="I109" i="3"/>
  <c r="I33" i="3" s="1"/>
  <c r="I77" i="3" s="1"/>
  <c r="H34" i="3"/>
  <c r="G16" i="1" s="1"/>
  <c r="J20" i="3"/>
  <c r="J19" i="3" s="1"/>
  <c r="J21" i="3"/>
  <c r="J107" i="3"/>
  <c r="J113" i="3" s="1"/>
  <c r="J114" i="3" s="1"/>
  <c r="J81" i="3" s="1"/>
  <c r="J22" i="3"/>
  <c r="G32" i="1"/>
  <c r="I55" i="3"/>
  <c r="I80" i="3" s="1"/>
  <c r="H61" i="3"/>
  <c r="I186" i="3"/>
  <c r="J183" i="3"/>
  <c r="I197" i="3"/>
  <c r="J194" i="3"/>
  <c r="J196" i="3" s="1"/>
  <c r="J197" i="3" s="1"/>
  <c r="I79" i="3"/>
  <c r="H36" i="3" l="1"/>
  <c r="I34" i="3"/>
  <c r="H16" i="1" s="1"/>
  <c r="H25" i="1"/>
  <c r="J24" i="3"/>
  <c r="I18" i="1" s="1"/>
  <c r="J109" i="3"/>
  <c r="J33" i="3" s="1"/>
  <c r="I25" i="1" s="1"/>
  <c r="J55" i="3"/>
  <c r="J80" i="3" s="1"/>
  <c r="I61" i="3"/>
  <c r="H32" i="1"/>
  <c r="J50" i="3"/>
  <c r="J186" i="3"/>
  <c r="J77" i="3" l="1"/>
  <c r="J34" i="3"/>
  <c r="I16" i="1" s="1"/>
  <c r="I36" i="3"/>
  <c r="J61" i="3"/>
  <c r="I32" i="1"/>
  <c r="J79" i="3"/>
  <c r="Q130" i="1"/>
  <c r="O130" i="1"/>
  <c r="D130" i="1"/>
  <c r="Q129" i="1"/>
  <c r="O129" i="1"/>
  <c r="G129" i="1"/>
  <c r="E129" i="1"/>
  <c r="C129" i="1"/>
  <c r="Q128" i="1"/>
  <c r="O128" i="1"/>
  <c r="E128" i="1"/>
  <c r="C128" i="1"/>
  <c r="L103" i="1"/>
  <c r="L104" i="1" s="1"/>
  <c r="G130" i="1" s="1"/>
  <c r="D103" i="1"/>
  <c r="D104" i="1" s="1"/>
  <c r="L101" i="1"/>
  <c r="D101" i="1"/>
  <c r="L100" i="1"/>
  <c r="D100" i="1"/>
  <c r="P99" i="1"/>
  <c r="Q99" i="1" s="1"/>
  <c r="N99" i="1"/>
  <c r="M99" i="1" s="1"/>
  <c r="H99" i="1"/>
  <c r="I99" i="1" s="1"/>
  <c r="F99" i="1"/>
  <c r="E99" i="1" s="1"/>
  <c r="B128" i="1" s="1"/>
  <c r="L94" i="1"/>
  <c r="L95" i="1" s="1"/>
  <c r="D94" i="1"/>
  <c r="D95" i="1" s="1"/>
  <c r="L92" i="1"/>
  <c r="D92" i="1"/>
  <c r="D91" i="1" s="1"/>
  <c r="L91" i="1"/>
  <c r="P90" i="1"/>
  <c r="Q90" i="1" s="1"/>
  <c r="N90" i="1"/>
  <c r="M90" i="1" s="1"/>
  <c r="H90" i="1"/>
  <c r="I90" i="1" s="1"/>
  <c r="F90" i="1"/>
  <c r="E90" i="1"/>
  <c r="B129" i="1" s="1"/>
  <c r="I61" i="1"/>
  <c r="C65" i="1"/>
  <c r="C70" i="1" s="1"/>
  <c r="D70" i="1" s="1"/>
  <c r="C55" i="1"/>
  <c r="D37" i="1"/>
  <c r="B35" i="1"/>
  <c r="D33" i="1"/>
  <c r="D21" i="1"/>
  <c r="D19" i="1"/>
  <c r="D23" i="1"/>
  <c r="D17" i="1"/>
  <c r="D12" i="1"/>
  <c r="E12" i="1" s="1"/>
  <c r="C12" i="1"/>
  <c r="D5" i="1"/>
  <c r="D8" i="1" s="1"/>
  <c r="C38" i="1" s="1"/>
  <c r="J36" i="3" l="1"/>
  <c r="C72" i="1"/>
  <c r="D72" i="1" s="1"/>
  <c r="C18" i="2"/>
  <c r="D128" i="1"/>
  <c r="P129" i="1"/>
  <c r="P128" i="1"/>
  <c r="P130" i="1"/>
  <c r="D129" i="1"/>
  <c r="G128" i="1"/>
  <c r="E37" i="1"/>
  <c r="F12" i="1"/>
  <c r="F43" i="2" l="1"/>
  <c r="I43" i="2" s="1"/>
  <c r="C45" i="2" s="1"/>
  <c r="C46" i="2" s="1"/>
  <c r="C35" i="2" s="1"/>
  <c r="E18" i="2"/>
  <c r="E19" i="2" s="1"/>
  <c r="E21" i="2" s="1"/>
  <c r="F37" i="1"/>
  <c r="G12" i="1"/>
  <c r="H4" i="1" l="1"/>
  <c r="C25" i="2"/>
  <c r="G37" i="1"/>
  <c r="H12" i="1"/>
  <c r="H37" i="1" l="1"/>
  <c r="I12" i="1"/>
  <c r="E44" i="1" l="1"/>
  <c r="B44" i="1"/>
  <c r="B43" i="1"/>
  <c r="I37" i="1"/>
  <c r="C14" i="1" l="1"/>
  <c r="E15" i="1"/>
  <c r="E28" i="1"/>
  <c r="F15" i="1" l="1"/>
  <c r="F28" i="1"/>
  <c r="E21" i="1"/>
  <c r="E33" i="1" l="1"/>
  <c r="E26" i="1"/>
  <c r="G15" i="1"/>
  <c r="G28" i="1"/>
  <c r="E23" i="1"/>
  <c r="C18" i="1"/>
  <c r="E19" i="1"/>
  <c r="F21" i="1"/>
  <c r="F19" i="1" l="1"/>
  <c r="F23" i="1"/>
  <c r="E30" i="1"/>
  <c r="E38" i="1" s="1"/>
  <c r="F33" i="1"/>
  <c r="H15" i="1"/>
  <c r="H28" i="1"/>
  <c r="F26" i="1"/>
  <c r="G21" i="1"/>
  <c r="F17" i="1" l="1"/>
  <c r="E17" i="1"/>
  <c r="C16" i="1"/>
  <c r="G19" i="1"/>
  <c r="G23" i="1"/>
  <c r="I15" i="1"/>
  <c r="I28" i="1"/>
  <c r="F30" i="1"/>
  <c r="F38" i="1" s="1"/>
  <c r="H21" i="1"/>
  <c r="G17" i="1" l="1"/>
  <c r="H33" i="1"/>
  <c r="G33" i="1"/>
  <c r="H26" i="1"/>
  <c r="G26" i="1"/>
  <c r="G30" i="1" s="1"/>
  <c r="G38" i="1" s="1"/>
  <c r="H23" i="1"/>
  <c r="H19" i="1"/>
  <c r="I21" i="1"/>
  <c r="H17" i="1" l="1"/>
  <c r="H30" i="1"/>
  <c r="H38" i="1" s="1"/>
  <c r="I33" i="1"/>
  <c r="I19" i="1"/>
  <c r="I23" i="1"/>
  <c r="I26" i="1" l="1"/>
  <c r="I30" i="1" s="1"/>
  <c r="I38" i="1" s="1"/>
  <c r="I42" i="1"/>
  <c r="I44" i="1" s="1"/>
  <c r="I17" i="1"/>
  <c r="C43" i="1" l="1"/>
  <c r="E39" i="1" l="1"/>
  <c r="F39" i="1"/>
  <c r="H39" i="1"/>
  <c r="G39" i="1"/>
  <c r="I45" i="1"/>
  <c r="I51" i="1"/>
  <c r="I39" i="1"/>
  <c r="C44" i="1"/>
  <c r="C46" i="1" l="1"/>
  <c r="I46" i="1" s="1"/>
  <c r="I47" i="1" s="1"/>
  <c r="D69" i="1" s="1"/>
  <c r="D78" i="1" s="1"/>
  <c r="L99" i="1" s="1"/>
  <c r="C45" i="1"/>
  <c r="C51" i="1"/>
  <c r="D84" i="1" l="1"/>
  <c r="I49" i="1"/>
  <c r="I50" i="1" s="1"/>
  <c r="D82" i="1"/>
  <c r="D71" i="1"/>
  <c r="D73" i="1" s="1"/>
  <c r="D99" i="1" s="1"/>
  <c r="D83" i="1"/>
  <c r="D77" i="1"/>
  <c r="D79" i="1"/>
  <c r="C47" i="1"/>
  <c r="C69" i="1" s="1"/>
  <c r="C49" i="1" l="1"/>
  <c r="C50" i="1" s="1"/>
  <c r="C83" i="1"/>
  <c r="C71" i="1"/>
  <c r="C73" i="1" s="1"/>
  <c r="D90" i="1" s="1"/>
  <c r="C79" i="1"/>
  <c r="C84" i="1"/>
  <c r="C82" i="1"/>
  <c r="C78" i="1"/>
  <c r="L90" i="1" s="1"/>
  <c r="C77" i="1"/>
  <c r="F25" i="3"/>
  <c r="G25" i="3"/>
  <c r="H25" i="3"/>
  <c r="I25" i="3"/>
  <c r="J25" i="3"/>
  <c r="F28" i="3"/>
  <c r="G28" i="3"/>
  <c r="H28" i="3"/>
  <c r="I28" i="3"/>
  <c r="J28" i="3"/>
  <c r="F29" i="3"/>
  <c r="G29" i="3"/>
  <c r="H29" i="3"/>
  <c r="I29" i="3"/>
  <c r="J29" i="3"/>
  <c r="F31" i="3"/>
  <c r="G31" i="3"/>
  <c r="H31" i="3"/>
  <c r="I31" i="3"/>
  <c r="J31" i="3"/>
  <c r="F48" i="3"/>
  <c r="G48" i="3"/>
  <c r="H48" i="3"/>
  <c r="I48" i="3"/>
  <c r="J48" i="3"/>
  <c r="F53" i="3"/>
  <c r="G53" i="3"/>
  <c r="H53" i="3"/>
  <c r="I53" i="3"/>
  <c r="J53" i="3"/>
  <c r="F66" i="3"/>
  <c r="G66" i="3"/>
  <c r="H66" i="3"/>
  <c r="I66" i="3"/>
  <c r="J66" i="3"/>
  <c r="F68" i="3"/>
  <c r="G68" i="3"/>
  <c r="H68" i="3"/>
  <c r="I68" i="3"/>
  <c r="J68" i="3"/>
  <c r="F70" i="3"/>
  <c r="G70" i="3"/>
  <c r="H70" i="3"/>
  <c r="I70" i="3"/>
  <c r="J70" i="3"/>
  <c r="F76" i="3"/>
  <c r="G76" i="3"/>
  <c r="H76" i="3"/>
  <c r="I76" i="3"/>
  <c r="J76" i="3"/>
  <c r="F83" i="3"/>
  <c r="G83" i="3"/>
  <c r="H83" i="3"/>
  <c r="I83" i="3"/>
  <c r="J83" i="3"/>
  <c r="F93" i="3"/>
  <c r="G93" i="3"/>
  <c r="H93" i="3"/>
  <c r="I93" i="3"/>
  <c r="J93" i="3"/>
  <c r="G118" i="3"/>
  <c r="H118" i="3"/>
  <c r="I118" i="3"/>
  <c r="J118" i="3"/>
  <c r="F119" i="3"/>
  <c r="G119" i="3"/>
  <c r="H119" i="3"/>
  <c r="I119" i="3"/>
  <c r="J119" i="3"/>
  <c r="F122" i="3"/>
  <c r="G122" i="3"/>
  <c r="H122" i="3"/>
  <c r="I122" i="3"/>
  <c r="J122" i="3"/>
  <c r="F138" i="3"/>
  <c r="G138" i="3"/>
  <c r="H138" i="3"/>
  <c r="I138" i="3"/>
  <c r="J138" i="3"/>
  <c r="C144" i="3"/>
  <c r="F182" i="3"/>
  <c r="G182" i="3"/>
  <c r="H182" i="3"/>
  <c r="I182" i="3"/>
  <c r="J182" i="3"/>
  <c r="F184" i="3"/>
  <c r="G184" i="3"/>
  <c r="H184" i="3"/>
  <c r="I184" i="3"/>
  <c r="J184" i="3"/>
  <c r="F187" i="3"/>
  <c r="G187" i="3"/>
  <c r="H187" i="3"/>
  <c r="I187" i="3"/>
  <c r="J187" i="3"/>
  <c r="F199" i="3"/>
  <c r="G199" i="3"/>
  <c r="H199" i="3"/>
  <c r="I199" i="3"/>
  <c r="J199" i="3"/>
  <c r="F200" i="3"/>
  <c r="G200" i="3"/>
  <c r="H200" i="3"/>
  <c r="I200" i="3"/>
  <c r="J20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Matan Feldman</author>
    <author>Amgad</author>
  </authors>
  <commentList>
    <comment ref="H7" authorId="0" shapeId="0" xr:uid="{47604D38-ACC6-4A1E-9E14-7B1884CE911E}">
      <text>
        <r>
          <rPr>
            <b/>
            <sz val="9"/>
            <color indexed="81"/>
            <rFont val="Tahoma"/>
            <family val="2"/>
          </rPr>
          <t>Amgad Bashir</t>
        </r>
        <r>
          <rPr>
            <sz val="9"/>
            <color indexed="81"/>
            <rFont val="Tahoma"/>
            <family val="2"/>
          </rPr>
          <t xml:space="preserve">
Midyear convention? (1=Yes,0=No)</t>
        </r>
      </text>
    </comment>
    <comment ref="E36" authorId="1" shapeId="0" xr:uid="{660DA414-4C1E-4888-AF92-811F75360C7C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Stub year counts the first year cash flows starting at the valuation 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Matan Feldman</author>
  </authors>
  <commentList>
    <comment ref="C18" authorId="0" shapeId="0" xr:uid="{AA238351-FAD0-4BF9-B20B-D997A1255C3D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Equity was $1,223,044.7 in the video because we ignored the illusrative converts and options (in case you're wondering why your numbers aren't footing with the video)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Amgad</author>
  </authors>
  <commentList>
    <comment ref="B19" authorId="0" shapeId="0" xr:uid="{08D55CCF-7EDD-414A-B5A6-E08D9700771D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Includes Fulfilment costs
</t>
        </r>
      </text>
    </comment>
    <comment ref="B52" authorId="0" shapeId="0" xr:uid="{26130552-A44D-4EC2-A0E4-232C76392B4F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Inlcudes Goodwill, Operating Leases among other assests</t>
        </r>
      </text>
    </comment>
    <comment ref="B58" authorId="0" shapeId="0" xr:uid="{DC867B84-2A51-4B0C-8CB5-7834C9EF81CC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Includes majority operating and minority financing leases. Operating lease expense kept embedded in opearting costs hence no interest forecast to avoid double counting.</t>
        </r>
      </text>
    </comment>
    <comment ref="B133" authorId="0" shapeId="0" xr:uid="{63CCF850-0C13-4443-9DDA-5EA0A8306FA9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We estimate this figure given that Amzn does not provide an explicit figure
</t>
        </r>
      </text>
    </comment>
    <comment ref="F191" authorId="0" shapeId="0" xr:uid="{269A7C8E-BE5A-4069-BCE4-25E7117C1606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Based on spot price (current share price)
</t>
        </r>
      </text>
    </comment>
  </commentList>
</comments>
</file>

<file path=xl/sharedStrings.xml><?xml version="1.0" encoding="utf-8"?>
<sst xmlns="http://schemas.openxmlformats.org/spreadsheetml/2006/main" count="339" uniqueCount="263">
  <si>
    <t>Most recent fiscal year end</t>
  </si>
  <si>
    <t>End of first fiscal year</t>
  </si>
  <si>
    <t>Most recent quarter end date</t>
  </si>
  <si>
    <t xml:space="preserve">Valuation date </t>
  </si>
  <si>
    <t>Portion of First Year Cash Flows</t>
  </si>
  <si>
    <t>Discount rate (WACC)</t>
  </si>
  <si>
    <t>Share price date</t>
  </si>
  <si>
    <t>Midyear adjustment?</t>
  </si>
  <si>
    <t>Case active:</t>
  </si>
  <si>
    <t>Discounted Cash Flow Valuation</t>
  </si>
  <si>
    <t>Unlevered Free Cash Flows</t>
  </si>
  <si>
    <t>LTM</t>
  </si>
  <si>
    <t>Actual</t>
  </si>
  <si>
    <t>Forecasts</t>
  </si>
  <si>
    <t>Fiscal year ended</t>
  </si>
  <si>
    <t>Revenue</t>
  </si>
  <si>
    <t>% growth</t>
  </si>
  <si>
    <t>EBITDA</t>
  </si>
  <si>
    <t>% margin</t>
  </si>
  <si>
    <t>EBIT</t>
  </si>
  <si>
    <t>Tax on EBIT</t>
  </si>
  <si>
    <t>Tax rate</t>
  </si>
  <si>
    <t>Depreciation &amp; amortization</t>
  </si>
  <si>
    <t>Changes in net working capital</t>
  </si>
  <si>
    <t>Capital expenditures</t>
  </si>
  <si>
    <t>as % of revenue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</si>
  <si>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</si>
  <si>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</si>
  <si>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</si>
  <si>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</si>
  <si>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</si>
  <si>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</si>
  <si>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</si>
  <si>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</si>
  <si>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</si>
  <si>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</si>
  <si>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</si>
  <si>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</si>
  <si>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</si>
  <si>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</si>
  <si>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</si>
  <si>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</si>
  <si>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</si>
  <si>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</si>
  <si>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</si>
  <si>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</si>
  <si>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</si>
  <si>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</si>
  <si>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</si>
  <si>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</si>
  <si>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</si>
  <si>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</si>
  <si>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</si>
  <si>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</si>
  <si>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Source date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</si>
  <si>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</si>
  <si>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</si>
  <si>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</si>
  <si>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</si>
  <si>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</si>
  <si>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</si>
  <si>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</si>
  <si>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</si>
  <si>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</si>
  <si>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</si>
  <si>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</si>
  <si>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</si>
  <si>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</si>
  <si>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</si>
  <si>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</si>
  <si>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</si>
  <si>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</si>
  <si>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</si>
  <si>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</si>
  <si>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</si>
  <si>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</si>
  <si>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</si>
  <si>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</si>
  <si>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</si>
  <si>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</si>
  <si>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</si>
  <si>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</si>
  <si>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</si>
  <si>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</si>
  <si>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</si>
  <si>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</si>
  <si>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</si>
  <si>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</si>
  <si>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</si>
  <si>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</si>
  <si>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</si>
  <si>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</si>
  <si>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</si>
  <si>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Company name</t>
  </si>
  <si>
    <t>Amazon</t>
  </si>
  <si>
    <t>Ticker</t>
  </si>
  <si>
    <t>AMZN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</si>
  <si>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</si>
  <si>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</si>
  <si>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</si>
  <si>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</si>
  <si>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</si>
  <si>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Select an operating scenario:</t>
  </si>
  <si>
    <t>Base case</t>
  </si>
  <si>
    <t>INCOME STATEMENT</t>
  </si>
  <si>
    <t xml:space="preserve">Fiscal year  </t>
  </si>
  <si>
    <t>Fiscal year end date</t>
  </si>
  <si>
    <t>Revenue - products</t>
  </si>
  <si>
    <t xml:space="preserve">Cost of Sales </t>
  </si>
  <si>
    <t>Gross Profit</t>
  </si>
  <si>
    <t>Selling, general &amp; administrative</t>
  </si>
  <si>
    <t xml:space="preserve">R&amp;D: Technology and Infrastructure </t>
  </si>
  <si>
    <t>Other operating expense, net</t>
  </si>
  <si>
    <t>Operating profit (EBIT)</t>
  </si>
  <si>
    <t>Interest income</t>
  </si>
  <si>
    <t xml:space="preserve">Interest expense </t>
  </si>
  <si>
    <t>Other expense, net</t>
  </si>
  <si>
    <t>Pretax profit</t>
  </si>
  <si>
    <t xml:space="preserve">Taxes </t>
  </si>
  <si>
    <t>Equity method investment, net of tax</t>
  </si>
  <si>
    <t>Net income</t>
  </si>
  <si>
    <t>Stock based compensation</t>
  </si>
  <si>
    <t>Adjusted EBITDA</t>
  </si>
  <si>
    <t>Growth rates &amp; margins</t>
  </si>
  <si>
    <t>Revenue growth</t>
  </si>
  <si>
    <t>Gross profit margin</t>
  </si>
  <si>
    <t xml:space="preserve">R&amp;D % of sales </t>
  </si>
  <si>
    <t>SG&amp;A % of sales</t>
  </si>
  <si>
    <t>BALANCE SHEET</t>
  </si>
  <si>
    <t>Cash &amp; equivalents, ST and LT marketable securities</t>
  </si>
  <si>
    <t>Accounts receivable</t>
  </si>
  <si>
    <t>Inventories</t>
  </si>
  <si>
    <t>Property, plant &amp; equipment</t>
  </si>
  <si>
    <t>Other non current assets</t>
  </si>
  <si>
    <t>Total assets</t>
  </si>
  <si>
    <t>Accounts payable</t>
  </si>
  <si>
    <t>Other current liabilities</t>
  </si>
  <si>
    <t>Deferred revenue (current)</t>
  </si>
  <si>
    <t>Long term lease liabilities</t>
  </si>
  <si>
    <t>Long term debt (includes current portion)</t>
  </si>
  <si>
    <t>Other non current liabilities</t>
  </si>
  <si>
    <t>Total liabilities</t>
  </si>
  <si>
    <t>Common stock</t>
  </si>
  <si>
    <t xml:space="preserve">Treasury stock </t>
  </si>
  <si>
    <t>APIC</t>
  </si>
  <si>
    <t xml:space="preserve">Retained earnings 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</si>
  <si>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</si>
  <si>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</si>
  <si>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</si>
  <si>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</si>
  <si>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</si>
  <si>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</si>
  <si>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</si>
  <si>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Cash from operating activities</t>
  </si>
  <si>
    <t>Cash from investing activities</t>
  </si>
  <si>
    <t>Long term debt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</si>
  <si>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</si>
  <si>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</si>
  <si>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</si>
  <si>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</si>
  <si>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</si>
  <si>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Forecast</t>
  </si>
  <si>
    <t>Beginning of period</t>
  </si>
  <si>
    <t>Plus: Capital expenditures</t>
  </si>
  <si>
    <t>Less: Depreciation</t>
  </si>
  <si>
    <t>End of period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</si>
  <si>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</si>
  <si>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</si>
  <si>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</si>
  <si>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</si>
  <si>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 xml:space="preserve">Depreciation &amp; Amortization - Total </t>
  </si>
  <si>
    <t>OTHER NON-CURRENT ASSETS</t>
  </si>
  <si>
    <t>Less: Amortization of intangible assets</t>
  </si>
  <si>
    <t xml:space="preserve">Plus: Additions </t>
  </si>
  <si>
    <t>RETAINED EARNINGS</t>
  </si>
  <si>
    <t>Plus: Net income</t>
  </si>
  <si>
    <t>Less: Dividends</t>
  </si>
  <si>
    <t>Less: Repurchases</t>
  </si>
  <si>
    <t>INTEREST EXPENSE AND INTEREST INCOME</t>
  </si>
  <si>
    <t>Total interest expense (from I/S)</t>
  </si>
  <si>
    <t>End of period balance (from B/S)</t>
  </si>
  <si>
    <t>Weighted average interest rate</t>
  </si>
  <si>
    <t>Interest rate on cash</t>
  </si>
  <si>
    <t>Weighted average interest rate on cash</t>
  </si>
  <si>
    <t>SENSITIVITY ANALYSIS</t>
  </si>
  <si>
    <t>First forecast year net income  sensitivity</t>
  </si>
  <si>
    <t>Revenue growth rate</t>
  </si>
  <si>
    <t>Gross</t>
  </si>
  <si>
    <t>Profit</t>
  </si>
  <si>
    <t>Margin:</t>
  </si>
  <si>
    <t>SCENARIO ANALYSIS</t>
  </si>
  <si>
    <t>Active case:</t>
  </si>
  <si>
    <t xml:space="preserve">Variance from </t>
  </si>
  <si>
    <t>base case</t>
  </si>
  <si>
    <t>R&amp;D % of sales</t>
  </si>
  <si>
    <t>Best case</t>
  </si>
  <si>
    <t>NM</t>
  </si>
  <si>
    <t>Weak case</t>
  </si>
  <si>
    <t>EARNINGS PER SHARE</t>
  </si>
  <si>
    <t xml:space="preserve">Basic shares </t>
  </si>
  <si>
    <t>Basic EPS</t>
  </si>
  <si>
    <t>Diluted Shares</t>
  </si>
  <si>
    <t>Diluted EPS</t>
  </si>
  <si>
    <t>$ amount of shares repurchased</t>
  </si>
  <si>
    <t>$ amount of new shares issued</t>
  </si>
  <si>
    <t>Average share price</t>
  </si>
  <si>
    <t>Share price increase</t>
  </si>
  <si>
    <t>Alternative method for calculating weighted average basic shares</t>
  </si>
  <si>
    <t>Basic Shares - BOP</t>
  </si>
  <si>
    <t>Reference from latest share count &gt;</t>
  </si>
  <si>
    <t>Net change in basic shares</t>
  </si>
  <si>
    <t>Basic shares - EOP</t>
  </si>
  <si>
    <t>Basic shares - average</t>
  </si>
  <si>
    <t>Alternative method for estimating share price growth</t>
  </si>
  <si>
    <t>yoy % growth in net income</t>
  </si>
  <si>
    <t>WACC Buildup</t>
  </si>
  <si>
    <t>Cost of capital assumptions</t>
  </si>
  <si>
    <t>Source</t>
  </si>
  <si>
    <t>Cost of debt</t>
  </si>
  <si>
    <t>From terminal year of UFCF forecast</t>
  </si>
  <si>
    <t>Cost of debt (after tax)</t>
  </si>
  <si>
    <t>Cost of debt x (1 - tax rate)</t>
  </si>
  <si>
    <t xml:space="preserve">Risk free rate </t>
  </si>
  <si>
    <t xml:space="preserve">Beta </t>
  </si>
  <si>
    <t>Bloomberg 2 year weekly adjusted beta</t>
  </si>
  <si>
    <t>Market risk premium</t>
  </si>
  <si>
    <t>Cost of equity</t>
  </si>
  <si>
    <t>RfR + Beta x MRP</t>
  </si>
  <si>
    <t>Capital weights (capital structure)</t>
  </si>
  <si>
    <t xml:space="preserve">Target </t>
  </si>
  <si>
    <t xml:space="preserve">Current </t>
  </si>
  <si>
    <t>(override)</t>
  </si>
  <si>
    <t>% of total</t>
  </si>
  <si>
    <t>Equity</t>
  </si>
  <si>
    <t>Cost of capital (WACC)</t>
  </si>
  <si>
    <t>WACC sensitivity to MRP and Beta</t>
  </si>
  <si>
    <t>Beta</t>
  </si>
  <si>
    <t>Market</t>
  </si>
  <si>
    <t>Risk</t>
  </si>
  <si>
    <t>Premium</t>
  </si>
  <si>
    <t>Select Beta for model</t>
  </si>
  <si>
    <t>Observed</t>
  </si>
  <si>
    <t>Industry beta</t>
  </si>
  <si>
    <t>From schedule below</t>
  </si>
  <si>
    <r>
      <t xml:space="preserve">Observed </t>
    </r>
    <r>
      <rPr>
        <sz val="11"/>
        <color theme="1"/>
        <rFont val="Symbol"/>
        <family val="1"/>
        <charset val="2"/>
      </rPr>
      <t>b</t>
    </r>
  </si>
  <si>
    <t>Share price</t>
  </si>
  <si>
    <t>Dil. shares</t>
  </si>
  <si>
    <t>Market cap</t>
  </si>
  <si>
    <t>Net Debt</t>
  </si>
  <si>
    <r>
      <t xml:space="preserve">Delev. </t>
    </r>
    <r>
      <rPr>
        <sz val="11"/>
        <color theme="1"/>
        <rFont val="Symbol"/>
        <family val="1"/>
        <charset val="2"/>
      </rPr>
      <t>b</t>
    </r>
  </si>
  <si>
    <t>Microsoft MSFT</t>
  </si>
  <si>
    <t>Alphabet (GOOG)</t>
  </si>
  <si>
    <t>Amazon (AMZN)</t>
  </si>
  <si>
    <t>Industry average delevered beta</t>
  </si>
  <si>
    <t>Capital IQ - YTM on 4.1% 11/30</t>
  </si>
  <si>
    <t>WSJ: 5 Year US Treasury Yield</t>
  </si>
  <si>
    <t>Damodaran implied ERP 2/26</t>
  </si>
  <si>
    <t>Walmart (WMT)</t>
  </si>
  <si>
    <t xml:space="preserve">FY 2026 </t>
  </si>
  <si>
    <t>FY 2026</t>
  </si>
  <si>
    <t xml:space="preserve">NOPAT </t>
  </si>
  <si>
    <t xml:space="preserve">$ and shares in millions, except per share data </t>
  </si>
  <si>
    <t xml:space="preserve">Share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</si>
</sst>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64" formatCode="0.0%_);\(0.0%\);@_)"/>
    <numFmt numFmtId="165" formatCode="&quot;$&quot;#,##0.00_);\(&quot;$&quot;#,##0.00\)"/>
    <numFmt numFmtId="166" formatCode="_(#,##0.0%_);\(#,##0.0%\);_(&quot;–&quot;_)_%;_(@_)_%"/>
    <numFmt numFmtId="167" formatCode="m/d/yy;@"/>
    <numFmt numFmtId="168" formatCode="0000\A"/>
    <numFmt numFmtId="169" formatCode="0000\P"/>
    <numFmt numFmtId="170" formatCode="#,##0_);\(#,##0\);@_)"/>
    <numFmt numFmtId="171" formatCode="0.0\x_);\(0.0\x\);@_)"/>
    <numFmt numFmtId="172" formatCode="0.000%_);\(0.000%\);@_)"/>
    <numFmt numFmtId="173" formatCode="#,##0.000_);\(#,##0.000\);@_)"/>
    <numFmt numFmtId="174" formatCode="#,##0.000_);\(#,##0.000\)"/>
    <numFmt numFmtId="175" formatCode="#,##0.000"/>
    <numFmt numFmtId="176" formatCode="_([$$]#,##0_)_%;\([$$]#,##0\)_%;_(&quot;–&quot;_)_%;_(@_)_%"/>
    <numFmt numFmtId="177" formatCode="&quot;$&quot;#,##0.00_);\(&quot;$&quot;#,##0.00\);@_)"/>
    <numFmt numFmtId="178" formatCode="_(0.0\x_)_';_(\(0.0\x\)_';_(&quot;–&quot;_)_%;_(@_)_%"/>
    <numFmt numFmtId="179" formatCode="_(0.0_)_'_x;_(\(0.0\)_';_(&quot;–&quot;_)_%;_(@_)_%"/>
    <numFmt numFmtId="180" formatCode="0.0%"/>
    <numFmt numFmtId="181" formatCode="#,##0.00_);\(#,##0.00\);\-_);@_)"/>
    <numFmt numFmtId="182" formatCode="#,##0.0_);\(#,##0.0\);\-_);@_)"/>
    <numFmt numFmtId="183" formatCode="_(#,##0.00%_);\(#,##0.00%\);_(&quot;–&quot;_)_%;_(@_)_%"/>
    <numFmt numFmtId="184" formatCode="_(#,##0_)_%;\(#,##0\)_%;_(&quot;–&quot;_)_%;_(@_)_%"/>
    <numFmt numFmtId="185" formatCode="&quot;$&quot;#,##0.00_);[Red]\(&quot;$&quot;#,##0.00\)"/>
    <numFmt numFmtId="186" formatCode="0\A;[Red]0\A"/>
    <numFmt numFmtId="187" formatCode="0\P_);\(0\P\)"/>
    <numFmt numFmtId="188" formatCode="0.00%_);\(0.00%\);@_)"/>
    <numFmt numFmtId="189" formatCode="&quot;$&quot;#,##0_);\(&quot;$&quot;#,##0\)"/>
    <numFmt numFmtId="190" formatCode="0.0%;\(0.0%\)"/>
    <numFmt numFmtId="191" formatCode="0.0%;\ \(0.0%\)"/>
    <numFmt numFmtId="192" formatCode="0%_);\(0%\);@_)"/>
    <numFmt numFmtId="193" formatCode="#,##0.0_);\(#,##0.0\);@_)"/>
    <numFmt numFmtId="194" formatCode="0.000"/>
    <numFmt numFmtId="195" formatCode="#,##0;\(#,##0\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rgb="FF000000"/>
      <name val="Aptos Narrow"/>
      <family val="2"/>
      <scheme val="minor"/>
    </font>
    <font>
      <sz val="10"/>
      <name val="Times New Roman"/>
      <family val="1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rgb="FF000000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sz val="9"/>
      <color rgb="FF008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rgb="FF000000"/>
      <name val="Times New Roman"/>
      <family val="1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Symbol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37" fontId="5" fillId="0" borderId="0"/>
    <xf numFmtId="0" fontId="9" fillId="0" borderId="0" applyNumberFormat="0" applyFill="0" applyBorder="0" applyAlignment="0" applyProtection="0"/>
  </cellStyleXfs>
  <cellXfs count="25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0" fillId="0" borderId="2" xfId="0" applyBorder="1"/>
    <xf numFmtId="0" fontId="4" fillId="0" borderId="3" xfId="0" applyFont="1" applyBorder="1"/>
    <xf numFmtId="14" fontId="6" fillId="0" borderId="0" xfId="2" applyNumberFormat="1" applyFont="1" applyAlignment="1">
      <alignment horizontal="right"/>
    </xf>
    <xf numFmtId="164" fontId="7" fillId="0" borderId="0" xfId="0" applyNumberFormat="1" applyFont="1"/>
    <xf numFmtId="14" fontId="8" fillId="0" borderId="0" xfId="2" applyNumberFormat="1" applyFont="1" applyAlignment="1">
      <alignment horizontal="right"/>
    </xf>
    <xf numFmtId="165" fontId="6" fillId="0" borderId="0" xfId="0" applyNumberFormat="1" applyFont="1"/>
    <xf numFmtId="14" fontId="6" fillId="0" borderId="0" xfId="0" applyNumberFormat="1" applyFont="1" applyAlignment="1">
      <alignment horizontal="right"/>
    </xf>
    <xf numFmtId="0" fontId="9" fillId="0" borderId="0" xfId="3" applyBorder="1"/>
    <xf numFmtId="0" fontId="10" fillId="0" borderId="0" xfId="0" applyFont="1" applyAlignment="1">
      <alignment horizontal="center"/>
    </xf>
    <xf numFmtId="166" fontId="8" fillId="0" borderId="0" xfId="0" applyNumberFormat="1" applyFont="1"/>
    <xf numFmtId="165" fontId="7" fillId="0" borderId="0" xfId="0" applyNumberFormat="1" applyFont="1" applyAlignment="1">
      <alignment horizontal="right"/>
    </xf>
    <xf numFmtId="0" fontId="2" fillId="0" borderId="4" xfId="0" applyFont="1" applyBorder="1"/>
    <xf numFmtId="0" fontId="0" fillId="0" borderId="4" xfId="0" applyBorder="1"/>
    <xf numFmtId="165" fontId="7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Continuous"/>
    </xf>
    <xf numFmtId="0" fontId="12" fillId="0" borderId="5" xfId="0" applyFont="1" applyBorder="1" applyAlignment="1">
      <alignment horizontal="centerContinuous"/>
    </xf>
    <xf numFmtId="14" fontId="0" fillId="0" borderId="0" xfId="0" applyNumberFormat="1" applyAlignment="1">
      <alignment horizontal="center"/>
    </xf>
    <xf numFmtId="168" fontId="2" fillId="0" borderId="6" xfId="0" applyNumberFormat="1" applyFont="1" applyBorder="1"/>
    <xf numFmtId="169" fontId="2" fillId="0" borderId="0" xfId="0" applyNumberFormat="1" applyFont="1"/>
    <xf numFmtId="170" fontId="8" fillId="0" borderId="0" xfId="0" applyNumberFormat="1" applyFont="1"/>
    <xf numFmtId="170" fontId="7" fillId="0" borderId="6" xfId="0" applyNumberFormat="1" applyFont="1" applyBorder="1"/>
    <xf numFmtId="170" fontId="7" fillId="0" borderId="0" xfId="0" applyNumberFormat="1" applyFont="1"/>
    <xf numFmtId="0" fontId="0" fillId="0" borderId="0" xfId="0" applyAlignment="1">
      <alignment horizontal="left" indent="1"/>
    </xf>
    <xf numFmtId="0" fontId="0" fillId="0" borderId="6" xfId="0" applyBorder="1"/>
    <xf numFmtId="166" fontId="8" fillId="0" borderId="6" xfId="0" applyNumberFormat="1" applyFont="1" applyBorder="1"/>
    <xf numFmtId="170" fontId="8" fillId="0" borderId="6" xfId="0" applyNumberFormat="1" applyFont="1" applyBorder="1"/>
    <xf numFmtId="164" fontId="7" fillId="0" borderId="7" xfId="0" applyNumberFormat="1" applyFont="1" applyBorder="1"/>
    <xf numFmtId="170" fontId="13" fillId="0" borderId="8" xfId="0" applyNumberFormat="1" applyFont="1" applyBorder="1"/>
    <xf numFmtId="170" fontId="13" fillId="0" borderId="0" xfId="0" applyNumberFormat="1" applyFont="1"/>
    <xf numFmtId="170" fontId="0" fillId="0" borderId="0" xfId="0" applyNumberFormat="1"/>
    <xf numFmtId="37" fontId="8" fillId="0" borderId="0" xfId="0" applyNumberFormat="1" applyFont="1"/>
    <xf numFmtId="170" fontId="7" fillId="0" borderId="4" xfId="0" applyNumberFormat="1" applyFont="1" applyBorder="1"/>
    <xf numFmtId="170" fontId="12" fillId="0" borderId="4" xfId="0" applyNumberFormat="1" applyFont="1" applyBorder="1" applyAlignment="1">
      <alignment horizontal="center"/>
    </xf>
    <xf numFmtId="170" fontId="12" fillId="0" borderId="0" xfId="0" applyNumberFormat="1" applyFont="1"/>
    <xf numFmtId="14" fontId="0" fillId="0" borderId="0" xfId="0" applyNumberFormat="1"/>
    <xf numFmtId="166" fontId="0" fillId="0" borderId="0" xfId="0" applyNumberFormat="1" applyAlignment="1">
      <alignment horizontal="center"/>
    </xf>
    <xf numFmtId="170" fontId="8" fillId="0" borderId="4" xfId="0" applyNumberFormat="1" applyFont="1" applyBorder="1"/>
    <xf numFmtId="0" fontId="13" fillId="0" borderId="0" xfId="0" applyFont="1"/>
    <xf numFmtId="166" fontId="6" fillId="0" borderId="0" xfId="0" applyNumberFormat="1" applyFont="1"/>
    <xf numFmtId="169" fontId="0" fillId="0" borderId="0" xfId="0" applyNumberFormat="1"/>
    <xf numFmtId="171" fontId="6" fillId="0" borderId="0" xfId="0" applyNumberFormat="1" applyFont="1"/>
    <xf numFmtId="170" fontId="2" fillId="0" borderId="0" xfId="0" applyNumberFormat="1" applyFont="1"/>
    <xf numFmtId="0" fontId="3" fillId="0" borderId="0" xfId="0" applyFont="1" applyAlignment="1">
      <alignment horizontal="left"/>
    </xf>
    <xf numFmtId="166" fontId="3" fillId="0" borderId="0" xfId="0" applyNumberFormat="1" applyFont="1"/>
    <xf numFmtId="172" fontId="3" fillId="0" borderId="0" xfId="0" applyNumberFormat="1" applyFont="1"/>
    <xf numFmtId="166" fontId="0" fillId="0" borderId="0" xfId="0" applyNumberFormat="1"/>
    <xf numFmtId="171" fontId="3" fillId="0" borderId="0" xfId="0" applyNumberFormat="1" applyFont="1"/>
    <xf numFmtId="164" fontId="0" fillId="0" borderId="0" xfId="0" quotePrefix="1" applyNumberFormat="1"/>
    <xf numFmtId="0" fontId="0" fillId="0" borderId="0" xfId="0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14" fontId="8" fillId="0" borderId="0" xfId="0" applyNumberFormat="1" applyFont="1"/>
    <xf numFmtId="173" fontId="6" fillId="0" borderId="0" xfId="0" applyNumberFormat="1" applyFont="1"/>
    <xf numFmtId="37" fontId="6" fillId="0" borderId="0" xfId="0" applyNumberFormat="1" applyFont="1"/>
    <xf numFmtId="174" fontId="6" fillId="0" borderId="0" xfId="0" applyNumberFormat="1" applyFont="1"/>
    <xf numFmtId="37" fontId="7" fillId="0" borderId="0" xfId="0" applyNumberFormat="1" applyFont="1"/>
    <xf numFmtId="0" fontId="8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175" fontId="2" fillId="0" borderId="0" xfId="0" applyNumberFormat="1" applyFont="1"/>
    <xf numFmtId="176" fontId="6" fillId="0" borderId="0" xfId="0" applyNumberFormat="1" applyFont="1"/>
    <xf numFmtId="0" fontId="0" fillId="0" borderId="0" xfId="0" applyAlignment="1">
      <alignment horizontal="left" vertical="center" indent="1"/>
    </xf>
    <xf numFmtId="174" fontId="0" fillId="0" borderId="0" xfId="0" applyNumberFormat="1"/>
    <xf numFmtId="173" fontId="15" fillId="0" borderId="0" xfId="0" applyNumberFormat="1" applyFont="1"/>
    <xf numFmtId="0" fontId="2" fillId="0" borderId="0" xfId="0" applyFont="1" applyAlignment="1">
      <alignment vertical="center"/>
    </xf>
    <xf numFmtId="37" fontId="2" fillId="0" borderId="0" xfId="0" applyNumberFormat="1" applyFont="1"/>
    <xf numFmtId="0" fontId="11" fillId="0" borderId="0" xfId="0" applyFont="1" applyAlignment="1">
      <alignment horizontal="right"/>
    </xf>
    <xf numFmtId="170" fontId="0" fillId="0" borderId="0" xfId="0" applyNumberFormat="1" applyAlignment="1">
      <alignment horizontal="right"/>
    </xf>
    <xf numFmtId="37" fontId="3" fillId="0" borderId="4" xfId="0" applyNumberFormat="1" applyFont="1" applyBorder="1" applyAlignment="1">
      <alignment horizontal="right"/>
    </xf>
    <xf numFmtId="37" fontId="0" fillId="0" borderId="0" xfId="0" applyNumberFormat="1" applyAlignment="1">
      <alignment horizontal="right"/>
    </xf>
    <xf numFmtId="177" fontId="2" fillId="0" borderId="0" xfId="0" applyNumberFormat="1" applyFont="1" applyAlignment="1">
      <alignment horizontal="right"/>
    </xf>
    <xf numFmtId="179" fontId="0" fillId="0" borderId="0" xfId="0" applyNumberFormat="1" applyAlignment="1">
      <alignment horizontal="right"/>
    </xf>
    <xf numFmtId="0" fontId="8" fillId="2" borderId="0" xfId="0" applyFont="1" applyFill="1"/>
    <xf numFmtId="0" fontId="16" fillId="0" borderId="0" xfId="0" applyFont="1" applyAlignment="1">
      <alignment horizontal="centerContinuous"/>
    </xf>
    <xf numFmtId="0" fontId="11" fillId="0" borderId="7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0" xfId="0" applyAlignment="1">
      <alignment horizontal="right"/>
    </xf>
    <xf numFmtId="177" fontId="0" fillId="0" borderId="9" xfId="0" applyNumberFormat="1" applyBorder="1" applyAlignment="1">
      <alignment horizontal="right"/>
    </xf>
    <xf numFmtId="180" fontId="8" fillId="3" borderId="10" xfId="0" applyNumberFormat="1" applyFont="1" applyFill="1" applyBorder="1"/>
    <xf numFmtId="180" fontId="8" fillId="3" borderId="11" xfId="0" applyNumberFormat="1" applyFont="1" applyFill="1" applyBorder="1"/>
    <xf numFmtId="180" fontId="6" fillId="3" borderId="11" xfId="0" applyNumberFormat="1" applyFont="1" applyFill="1" applyBorder="1"/>
    <xf numFmtId="180" fontId="8" fillId="3" borderId="7" xfId="0" applyNumberFormat="1" applyFont="1" applyFill="1" applyBorder="1"/>
    <xf numFmtId="171" fontId="0" fillId="0" borderId="12" xfId="0" applyNumberFormat="1" applyBorder="1" applyAlignment="1">
      <alignment horizontal="right"/>
    </xf>
    <xf numFmtId="180" fontId="8" fillId="3" borderId="13" xfId="0" applyNumberFormat="1" applyFont="1" applyFill="1" applyBorder="1"/>
    <xf numFmtId="180" fontId="8" fillId="3" borderId="14" xfId="0" applyNumberFormat="1" applyFont="1" applyFill="1" applyBorder="1" applyAlignment="1">
      <alignment horizontal="right"/>
    </xf>
    <xf numFmtId="181" fontId="0" fillId="0" borderId="0" xfId="0" applyNumberFormat="1"/>
    <xf numFmtId="181" fontId="0" fillId="0" borderId="7" xfId="0" applyNumberFormat="1" applyBorder="1"/>
    <xf numFmtId="171" fontId="0" fillId="0" borderId="0" xfId="0" applyNumberFormat="1" applyAlignment="1">
      <alignment horizontal="right"/>
    </xf>
    <xf numFmtId="180" fontId="6" fillId="3" borderId="14" xfId="0" applyNumberFormat="1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180" fontId="8" fillId="3" borderId="15" xfId="0" applyNumberFormat="1" applyFont="1" applyFill="1" applyBorder="1" applyAlignment="1">
      <alignment horizontal="right"/>
    </xf>
    <xf numFmtId="182" fontId="0" fillId="0" borderId="0" xfId="0" applyNumberFormat="1"/>
    <xf numFmtId="182" fontId="0" fillId="0" borderId="7" xfId="0" applyNumberFormat="1" applyBorder="1"/>
    <xf numFmtId="177" fontId="0" fillId="0" borderId="12" xfId="0" applyNumberFormat="1" applyBorder="1"/>
    <xf numFmtId="171" fontId="8" fillId="3" borderId="11" xfId="0" applyNumberFormat="1" applyFont="1" applyFill="1" applyBorder="1"/>
    <xf numFmtId="171" fontId="6" fillId="3" borderId="11" xfId="0" applyNumberFormat="1" applyFont="1" applyFill="1" applyBorder="1"/>
    <xf numFmtId="171" fontId="8" fillId="3" borderId="7" xfId="0" applyNumberFormat="1" applyFont="1" applyFill="1" applyBorder="1"/>
    <xf numFmtId="171" fontId="8" fillId="3" borderId="13" xfId="0" applyNumberFormat="1" applyFont="1" applyFill="1" applyBorder="1"/>
    <xf numFmtId="0" fontId="0" fillId="0" borderId="7" xfId="0" applyBorder="1"/>
    <xf numFmtId="0" fontId="2" fillId="4" borderId="0" xfId="0" applyFont="1" applyFill="1"/>
    <xf numFmtId="0" fontId="2" fillId="4" borderId="7" xfId="0" applyFont="1" applyFill="1" applyBorder="1"/>
    <xf numFmtId="183" fontId="0" fillId="0" borderId="0" xfId="0" applyNumberFormat="1"/>
    <xf numFmtId="0" fontId="0" fillId="0" borderId="10" xfId="0" applyBorder="1"/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1" xfId="0" applyBorder="1"/>
    <xf numFmtId="0" fontId="0" fillId="0" borderId="16" xfId="0" applyBorder="1"/>
    <xf numFmtId="0" fontId="0" fillId="0" borderId="17" xfId="0" quotePrefix="1" applyBorder="1"/>
    <xf numFmtId="39" fontId="0" fillId="0" borderId="0" xfId="0" applyNumberFormat="1"/>
    <xf numFmtId="39" fontId="0" fillId="0" borderId="18" xfId="0" applyNumberFormat="1" applyBorder="1"/>
    <xf numFmtId="39" fontId="8" fillId="0" borderId="0" xfId="0" applyNumberFormat="1" applyFont="1"/>
    <xf numFmtId="39" fontId="8" fillId="0" borderId="18" xfId="0" applyNumberFormat="1" applyFont="1" applyBorder="1"/>
    <xf numFmtId="0" fontId="0" fillId="0" borderId="17" xfId="0" applyBorder="1"/>
    <xf numFmtId="0" fontId="0" fillId="0" borderId="19" xfId="0" applyBorder="1"/>
    <xf numFmtId="39" fontId="0" fillId="0" borderId="9" xfId="0" applyNumberFormat="1" applyBorder="1"/>
    <xf numFmtId="39" fontId="8" fillId="0" borderId="9" xfId="0" applyNumberFormat="1" applyFont="1" applyBorder="1"/>
    <xf numFmtId="39" fontId="0" fillId="0" borderId="12" xfId="0" applyNumberFormat="1" applyBorder="1"/>
    <xf numFmtId="0" fontId="0" fillId="0" borderId="9" xfId="0" applyBorder="1"/>
    <xf numFmtId="0" fontId="0" fillId="0" borderId="20" xfId="0" applyBorder="1"/>
    <xf numFmtId="39" fontId="8" fillId="0" borderId="12" xfId="0" applyNumberFormat="1" applyFont="1" applyBorder="1"/>
    <xf numFmtId="0" fontId="0" fillId="0" borderId="3" xfId="0" applyBorder="1"/>
    <xf numFmtId="0" fontId="8" fillId="0" borderId="0" xfId="0" applyFont="1"/>
    <xf numFmtId="0" fontId="6" fillId="0" borderId="0" xfId="0" applyFont="1" applyAlignment="1">
      <alignment horizontal="center"/>
    </xf>
    <xf numFmtId="184" fontId="6" fillId="5" borderId="21" xfId="0" applyNumberFormat="1" applyFont="1" applyFill="1" applyBorder="1" applyAlignment="1">
      <alignment horizontal="center"/>
    </xf>
    <xf numFmtId="185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0" fontId="2" fillId="0" borderId="9" xfId="0" applyFont="1" applyBorder="1"/>
    <xf numFmtId="186" fontId="2" fillId="0" borderId="0" xfId="0" applyNumberFormat="1" applyFont="1"/>
    <xf numFmtId="187" fontId="2" fillId="0" borderId="0" xfId="0" applyNumberFormat="1" applyFont="1"/>
    <xf numFmtId="0" fontId="3" fillId="0" borderId="9" xfId="0" applyFont="1" applyBorder="1"/>
    <xf numFmtId="167" fontId="3" fillId="0" borderId="1" xfId="0" applyNumberFormat="1" applyFont="1" applyBorder="1"/>
    <xf numFmtId="167" fontId="20" fillId="0" borderId="0" xfId="0" applyNumberFormat="1" applyFont="1"/>
    <xf numFmtId="167" fontId="3" fillId="0" borderId="0" xfId="0" applyNumberFormat="1" applyFont="1"/>
    <xf numFmtId="9" fontId="3" fillId="0" borderId="0" xfId="0" applyNumberFormat="1" applyFont="1"/>
    <xf numFmtId="180" fontId="3" fillId="0" borderId="0" xfId="0" applyNumberFormat="1" applyFont="1"/>
    <xf numFmtId="37" fontId="13" fillId="0" borderId="0" xfId="0" applyNumberFormat="1" applyFont="1"/>
    <xf numFmtId="0" fontId="0" fillId="0" borderId="0" xfId="0" quotePrefix="1"/>
    <xf numFmtId="37" fontId="0" fillId="0" borderId="0" xfId="0" applyNumberFormat="1"/>
    <xf numFmtId="4" fontId="0" fillId="0" borderId="0" xfId="0" applyNumberFormat="1"/>
    <xf numFmtId="164" fontId="8" fillId="0" borderId="0" xfId="0" applyNumberFormat="1" applyFont="1"/>
    <xf numFmtId="164" fontId="6" fillId="0" borderId="0" xfId="0" applyNumberFormat="1" applyFont="1"/>
    <xf numFmtId="167" fontId="3" fillId="0" borderId="9" xfId="0" applyNumberFormat="1" applyFont="1" applyBorder="1"/>
    <xf numFmtId="14" fontId="3" fillId="0" borderId="0" xfId="0" applyNumberFormat="1" applyFont="1"/>
    <xf numFmtId="186" fontId="13" fillId="0" borderId="0" xfId="0" applyNumberFormat="1" applyFont="1"/>
    <xf numFmtId="187" fontId="13" fillId="0" borderId="0" xfId="0" applyNumberFormat="1" applyFont="1"/>
    <xf numFmtId="167" fontId="19" fillId="0" borderId="9" xfId="0" applyNumberFormat="1" applyFont="1" applyBorder="1"/>
    <xf numFmtId="37" fontId="3" fillId="0" borderId="0" xfId="0" applyNumberFormat="1" applyFont="1"/>
    <xf numFmtId="3" fontId="0" fillId="0" borderId="0" xfId="0" applyNumberFormat="1"/>
    <xf numFmtId="0" fontId="2" fillId="0" borderId="22" xfId="0" applyFont="1" applyBorder="1" applyAlignment="1">
      <alignment horizontal="centerContinuous"/>
    </xf>
    <xf numFmtId="0" fontId="0" fillId="0" borderId="0" xfId="0" quotePrefix="1" applyAlignment="1">
      <alignment horizontal="left" indent="1"/>
    </xf>
    <xf numFmtId="0" fontId="0" fillId="0" borderId="4" xfId="0" quotePrefix="1" applyBorder="1" applyAlignment="1">
      <alignment horizontal="left" indent="1"/>
    </xf>
    <xf numFmtId="37" fontId="6" fillId="0" borderId="4" xfId="0" applyNumberFormat="1" applyFont="1" applyBorder="1"/>
    <xf numFmtId="37" fontId="0" fillId="0" borderId="4" xfId="0" applyNumberFormat="1" applyBorder="1"/>
    <xf numFmtId="0" fontId="2" fillId="0" borderId="0" xfId="0" applyFont="1" applyAlignment="1">
      <alignment horizontal="left" indent="1"/>
    </xf>
    <xf numFmtId="164" fontId="0" fillId="0" borderId="0" xfId="0" applyNumberFormat="1"/>
    <xf numFmtId="166" fontId="6" fillId="6" borderId="0" xfId="0" applyNumberFormat="1" applyFont="1" applyFill="1"/>
    <xf numFmtId="184" fontId="0" fillId="0" borderId="0" xfId="0" applyNumberFormat="1"/>
    <xf numFmtId="0" fontId="2" fillId="0" borderId="9" xfId="0" applyFont="1" applyBorder="1" applyAlignment="1">
      <alignment horizontal="left"/>
    </xf>
    <xf numFmtId="164" fontId="0" fillId="0" borderId="9" xfId="0" applyNumberFormat="1" applyBorder="1"/>
    <xf numFmtId="164" fontId="8" fillId="0" borderId="9" xfId="0" applyNumberFormat="1" applyFont="1" applyBorder="1"/>
    <xf numFmtId="37" fontId="2" fillId="0" borderId="9" xfId="0" applyNumberFormat="1" applyFont="1" applyBorder="1"/>
    <xf numFmtId="37" fontId="8" fillId="0" borderId="22" xfId="0" applyNumberFormat="1" applyFont="1" applyBorder="1"/>
    <xf numFmtId="0" fontId="0" fillId="0" borderId="4" xfId="0" applyBorder="1" applyAlignment="1">
      <alignment horizontal="left" indent="1"/>
    </xf>
    <xf numFmtId="37" fontId="8" fillId="0" borderId="4" xfId="0" applyNumberFormat="1" applyFont="1" applyBorder="1"/>
    <xf numFmtId="37" fontId="2" fillId="0" borderId="9" xfId="0" applyNumberFormat="1" applyFont="1" applyBorder="1" applyAlignment="1">
      <alignment horizontal="left"/>
    </xf>
    <xf numFmtId="0" fontId="21" fillId="0" borderId="0" xfId="0" applyFont="1" applyAlignment="1">
      <alignment horizontal="center"/>
    </xf>
    <xf numFmtId="37" fontId="22" fillId="0" borderId="0" xfId="0" applyNumberFormat="1" applyFont="1" applyAlignment="1">
      <alignment horizontal="right"/>
    </xf>
    <xf numFmtId="9" fontId="6" fillId="0" borderId="9" xfId="0" applyNumberFormat="1" applyFont="1" applyBorder="1"/>
    <xf numFmtId="3" fontId="23" fillId="0" borderId="0" xfId="0" applyNumberFormat="1" applyFont="1"/>
    <xf numFmtId="37" fontId="0" fillId="0" borderId="22" xfId="0" applyNumberFormat="1" applyBorder="1"/>
    <xf numFmtId="0" fontId="0" fillId="0" borderId="0" xfId="0" applyAlignment="1">
      <alignment horizontal="left" indent="2"/>
    </xf>
    <xf numFmtId="0" fontId="24" fillId="0" borderId="0" xfId="0" applyFont="1" applyAlignment="1">
      <alignment horizontal="left"/>
    </xf>
    <xf numFmtId="183" fontId="25" fillId="0" borderId="0" xfId="0" applyNumberFormat="1" applyFont="1"/>
    <xf numFmtId="0" fontId="14" fillId="0" borderId="0" xfId="0" applyFont="1" applyAlignment="1">
      <alignment horizontal="left" indent="1"/>
    </xf>
    <xf numFmtId="10" fontId="6" fillId="0" borderId="0" xfId="0" applyNumberFormat="1" applyFont="1"/>
    <xf numFmtId="188" fontId="6" fillId="0" borderId="0" xfId="0" applyNumberFormat="1" applyFont="1"/>
    <xf numFmtId="183" fontId="8" fillId="0" borderId="0" xfId="0" applyNumberFormat="1" applyFont="1"/>
    <xf numFmtId="37" fontId="8" fillId="0" borderId="0" xfId="0" applyNumberFormat="1" applyFont="1" applyAlignment="1">
      <alignment horizontal="left" indent="1"/>
    </xf>
    <xf numFmtId="187" fontId="2" fillId="0" borderId="23" xfId="0" applyNumberFormat="1" applyFont="1" applyBorder="1"/>
    <xf numFmtId="0" fontId="0" fillId="0" borderId="23" xfId="0" applyBorder="1"/>
    <xf numFmtId="0" fontId="2" fillId="0" borderId="0" xfId="0" applyFont="1" applyAlignment="1">
      <alignment horizontal="centerContinuous"/>
    </xf>
    <xf numFmtId="189" fontId="8" fillId="6" borderId="24" xfId="0" applyNumberFormat="1" applyFont="1" applyFill="1" applyBorder="1"/>
    <xf numFmtId="190" fontId="6" fillId="6" borderId="25" xfId="0" applyNumberFormat="1" applyFont="1" applyFill="1" applyBorder="1"/>
    <xf numFmtId="191" fontId="6" fillId="6" borderId="26" xfId="0" applyNumberFormat="1" applyFont="1" applyFill="1" applyBorder="1"/>
    <xf numFmtId="170" fontId="0" fillId="6" borderId="0" xfId="0" applyNumberFormat="1" applyFill="1"/>
    <xf numFmtId="0" fontId="2" fillId="0" borderId="0" xfId="0" applyFont="1" applyAlignment="1">
      <alignment horizontal="right"/>
    </xf>
    <xf numFmtId="0" fontId="2" fillId="0" borderId="27" xfId="0" applyFont="1" applyBorder="1"/>
    <xf numFmtId="0" fontId="26" fillId="0" borderId="28" xfId="0" applyFont="1" applyBorder="1" applyAlignment="1">
      <alignment horizontal="center"/>
    </xf>
    <xf numFmtId="0" fontId="0" fillId="0" borderId="29" xfId="0" applyBorder="1"/>
    <xf numFmtId="0" fontId="26" fillId="0" borderId="30" xfId="0" applyFont="1" applyBorder="1" applyAlignment="1">
      <alignment horizontal="center"/>
    </xf>
    <xf numFmtId="164" fontId="0" fillId="6" borderId="31" xfId="0" applyNumberFormat="1" applyFill="1" applyBorder="1" applyAlignment="1">
      <alignment horizontal="center"/>
    </xf>
    <xf numFmtId="164" fontId="0" fillId="6" borderId="0" xfId="0" applyNumberFormat="1" applyFill="1"/>
    <xf numFmtId="166" fontId="19" fillId="0" borderId="0" xfId="0" applyNumberFormat="1" applyFont="1"/>
    <xf numFmtId="0" fontId="0" fillId="0" borderId="31" xfId="0" applyBorder="1"/>
    <xf numFmtId="166" fontId="6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92" fontId="0" fillId="0" borderId="0" xfId="0" applyNumberFormat="1"/>
    <xf numFmtId="166" fontId="6" fillId="0" borderId="32" xfId="0" applyNumberFormat="1" applyFont="1" applyBorder="1" applyAlignment="1">
      <alignment horizontal="center"/>
    </xf>
    <xf numFmtId="37" fontId="0" fillId="6" borderId="0" xfId="0" applyNumberFormat="1" applyFill="1"/>
    <xf numFmtId="37" fontId="6" fillId="6" borderId="0" xfId="0" applyNumberFormat="1" applyFont="1" applyFill="1"/>
    <xf numFmtId="165" fontId="13" fillId="6" borderId="0" xfId="0" applyNumberFormat="1" applyFont="1" applyFill="1"/>
    <xf numFmtId="9" fontId="0" fillId="0" borderId="0" xfId="1" applyFont="1"/>
    <xf numFmtId="9" fontId="0" fillId="0" borderId="0" xfId="0" applyNumberFormat="1"/>
    <xf numFmtId="185" fontId="0" fillId="0" borderId="0" xfId="0" applyNumberFormat="1"/>
    <xf numFmtId="37" fontId="8" fillId="7" borderId="0" xfId="0" applyNumberFormat="1" applyFont="1" applyFill="1"/>
    <xf numFmtId="185" fontId="6" fillId="6" borderId="0" xfId="0" applyNumberFormat="1" applyFont="1" applyFill="1"/>
    <xf numFmtId="185" fontId="0" fillId="6" borderId="0" xfId="0" applyNumberFormat="1" applyFill="1"/>
    <xf numFmtId="9" fontId="6" fillId="0" borderId="0" xfId="0" applyNumberFormat="1" applyFont="1"/>
    <xf numFmtId="0" fontId="2" fillId="0" borderId="23" xfId="0" applyFont="1" applyBorder="1"/>
    <xf numFmtId="37" fontId="2" fillId="6" borderId="15" xfId="0" applyNumberFormat="1" applyFont="1" applyFill="1" applyBorder="1"/>
    <xf numFmtId="37" fontId="2" fillId="6" borderId="0" xfId="0" applyNumberFormat="1" applyFont="1" applyFill="1"/>
    <xf numFmtId="166" fontId="8" fillId="6" borderId="0" xfId="0" applyNumberFormat="1" applyFont="1" applyFill="1"/>
    <xf numFmtId="166" fontId="0" fillId="6" borderId="0" xfId="0" applyNumberFormat="1" applyFill="1"/>
    <xf numFmtId="0" fontId="13" fillId="0" borderId="4" xfId="0" applyFont="1" applyBorder="1"/>
    <xf numFmtId="0" fontId="8" fillId="0" borderId="4" xfId="0" applyFont="1" applyBorder="1"/>
    <xf numFmtId="0" fontId="13" fillId="0" borderId="4" xfId="0" applyFont="1" applyBorder="1" applyAlignment="1">
      <alignment horizontal="right"/>
    </xf>
    <xf numFmtId="0" fontId="14" fillId="0" borderId="0" xfId="0" applyFont="1" applyAlignment="1">
      <alignment horizontal="left"/>
    </xf>
    <xf numFmtId="183" fontId="7" fillId="0" borderId="4" xfId="0" applyNumberFormat="1" applyFont="1" applyBorder="1"/>
    <xf numFmtId="174" fontId="8" fillId="0" borderId="0" xfId="0" applyNumberFormat="1" applyFont="1"/>
    <xf numFmtId="180" fontId="8" fillId="0" borderId="0" xfId="0" applyNumberFormat="1" applyFont="1"/>
    <xf numFmtId="180" fontId="12" fillId="0" borderId="0" xfId="0" applyNumberFormat="1" applyFont="1" applyAlignment="1">
      <alignment horizontal="right"/>
    </xf>
    <xf numFmtId="193" fontId="7" fillId="0" borderId="0" xfId="0" applyNumberFormat="1" applyFont="1"/>
    <xf numFmtId="9" fontId="6" fillId="6" borderId="0" xfId="0" applyNumberFormat="1" applyFont="1" applyFill="1"/>
    <xf numFmtId="9" fontId="8" fillId="0" borderId="0" xfId="0" applyNumberFormat="1" applyFont="1"/>
    <xf numFmtId="0" fontId="2" fillId="0" borderId="10" xfId="0" applyFont="1" applyBorder="1"/>
    <xf numFmtId="0" fontId="2" fillId="0" borderId="11" xfId="0" applyFont="1" applyBorder="1"/>
    <xf numFmtId="164" fontId="2" fillId="0" borderId="13" xfId="0" applyNumberFormat="1" applyFont="1" applyBorder="1"/>
    <xf numFmtId="39" fontId="2" fillId="0" borderId="0" xfId="0" applyNumberFormat="1" applyFont="1"/>
    <xf numFmtId="0" fontId="0" fillId="0" borderId="22" xfId="0" applyBorder="1" applyAlignment="1">
      <alignment horizontal="centerContinuous"/>
    </xf>
    <xf numFmtId="194" fontId="8" fillId="0" borderId="33" xfId="0" applyNumberFormat="1" applyFont="1" applyBorder="1"/>
    <xf numFmtId="174" fontId="6" fillId="0" borderId="34" xfId="0" applyNumberFormat="1" applyFont="1" applyBorder="1"/>
    <xf numFmtId="194" fontId="8" fillId="0" borderId="34" xfId="0" applyNumberFormat="1" applyFont="1" applyBorder="1"/>
    <xf numFmtId="10" fontId="8" fillId="0" borderId="35" xfId="0" applyNumberFormat="1" applyFont="1" applyBorder="1"/>
    <xf numFmtId="166" fontId="0" fillId="0" borderId="22" xfId="0" applyNumberFormat="1" applyBorder="1"/>
    <xf numFmtId="10" fontId="6" fillId="0" borderId="35" xfId="0" applyNumberFormat="1" applyFont="1" applyBorder="1"/>
    <xf numFmtId="10" fontId="8" fillId="0" borderId="7" xfId="0" applyNumberFormat="1" applyFont="1" applyBorder="1"/>
    <xf numFmtId="0" fontId="6" fillId="2" borderId="21" xfId="0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0" borderId="25" xfId="0" applyBorder="1"/>
    <xf numFmtId="0" fontId="0" fillId="0" borderId="25" xfId="0" applyBorder="1" applyAlignment="1">
      <alignment wrapText="1"/>
    </xf>
    <xf numFmtId="0" fontId="6" fillId="0" borderId="0" xfId="0" applyFont="1"/>
    <xf numFmtId="39" fontId="6" fillId="0" borderId="0" xfId="0" applyNumberFormat="1" applyFont="1"/>
    <xf numFmtId="39" fontId="7" fillId="0" borderId="0" xfId="0" applyNumberFormat="1" applyFont="1"/>
    <xf numFmtId="164" fontId="8" fillId="0" borderId="36" xfId="0" applyNumberFormat="1" applyFont="1" applyBorder="1"/>
    <xf numFmtId="174" fontId="2" fillId="0" borderId="0" xfId="0" applyNumberFormat="1" applyFont="1"/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7" fillId="0" borderId="0" xfId="0" applyNumberFormat="1" applyFont="1" applyAlignment="1">
      <alignment horizontal="right"/>
    </xf>
    <xf numFmtId="193" fontId="6" fillId="0" borderId="0" xfId="0" applyNumberFormat="1" applyFont="1"/>
    <xf numFmtId="170" fontId="6" fillId="0" borderId="0" xfId="0" applyNumberFormat="1" applyFont="1"/>
    <xf numFmtId="195" fontId="2" fillId="0" borderId="0" xfId="0" applyNumberFormat="1" applyFont="1"/>
    <xf numFmtId="178" fontId="0" fillId="8" borderId="0" xfId="0" applyNumberFormat="1" applyFill="1" applyAlignment="1">
      <alignment horizontal="right"/>
    </xf>
  </cellXfs>
  <cellStyles count="4">
    <cellStyle name="Hyperlink" xfId="3" builtinId="8"/>
    <cellStyle name="Normal" xfId="0" builtinId="0"/>
    <cellStyle name="Normal_DCF_Model" xfId="2" xr:uid="{836F5EAA-7AF7-463D-93EB-029665018F70}"/>
    <cellStyle name="Per cent" xfId="1" builtinId="5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9.0x-13.0x Exit EBITDA Range at 9.5% WACC</c:v>
                </c:pt>
                <c:pt idx="1">
                  <c:v>DCF Value at 1.3%-3.3% Perpetuity Range at 9.5%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DCF!$C$128:$C$130</c:f>
              <c:numCache>
                <c:formatCode>#,##0.00_);\(#,##0.00\)</c:formatCode>
                <c:ptCount val="3"/>
                <c:pt idx="0">
                  <c:v>194.33503450543503</c:v>
                </c:pt>
                <c:pt idx="1">
                  <c:v>70.992880542743691</c:v>
                </c:pt>
                <c:pt idx="2">
                  <c:v>161.38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2-4C82-9F7B-BAE97715DBF2}"/>
            </c:ext>
          </c:extLst>
        </c:ser>
        <c:ser>
          <c:idx val="1"/>
          <c:order val="1"/>
          <c:invertIfNegative val="0"/>
          <c:cat>
            <c:strRef>
              <c:f>DCF!$B$128:$B$130</c:f>
              <c:strCache>
                <c:ptCount val="3"/>
                <c:pt idx="0">
                  <c:v>DCF Value at 9.0x-13.0x Exit EBITDA Range at 9.5% WACC</c:v>
                </c:pt>
                <c:pt idx="1">
                  <c:v>DCF Value at 1.3%-3.3% Perpetuity Range at 9.5%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DCF!$D$128:$D$130</c:f>
              <c:numCache>
                <c:formatCode>#,##0.00_);\(#,##0.00\)</c:formatCode>
                <c:ptCount val="3"/>
                <c:pt idx="0">
                  <c:v>78.089887461914032</c:v>
                </c:pt>
                <c:pt idx="1">
                  <c:v>18.171445744094711</c:v>
                </c:pt>
                <c:pt idx="2">
                  <c:v>97.220000000000027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2-4C82-9F7B-BAE97715DBF2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9.0x-13.0x Exit EBITDA Range at 9.5% WACC</c:v>
                </c:pt>
                <c:pt idx="1">
                  <c:v>DCF Value at 1.3%-3.3% Perpetuity Range at 9.5%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DCF!$E$128:$E$130</c:f>
              <c:numCache>
                <c:formatCode>#,##0.00_);\(#,##0.00\)</c:formatCode>
                <c:ptCount val="3"/>
                <c:pt idx="0">
                  <c:v>272.42492196734906</c:v>
                </c:pt>
                <c:pt idx="1">
                  <c:v>89.164326286838403</c:v>
                </c:pt>
                <c:pt idx="2">
                  <c:v>258.60000000000002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B2-4C82-9F7B-BAE97715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1.3%-3.3% Perpetuity Growth at 9.5% WACC</c:v>
                </c:pt>
                <c:pt idx="1">
                  <c:v>LTM EBITDA Purchase Multiple at 13.8x-19.4x Exit EBITDA Multiple at 9.5% WACC</c:v>
                </c:pt>
                <c:pt idx="2">
                  <c:v>LTM EBITDA Purchase Multiple at 7.5%-11.5% WACC at 11.0x Exit EBITDA</c:v>
                </c:pt>
              </c:strCache>
            </c:strRef>
          </c:cat>
          <c:val>
            <c:numRef>
              <c:f>DCF!$O$128:$O$130</c:f>
              <c:numCache>
                <c:formatCode>#,##0.00_);\(#,##0.00\)</c:formatCode>
                <c:ptCount val="3"/>
                <c:pt idx="0">
                  <c:v>4.7864016074459785</c:v>
                </c:pt>
                <c:pt idx="1">
                  <c:v>13.764497715399315</c:v>
                </c:pt>
                <c:pt idx="2">
                  <c:v>15.222961326057288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9-4BC6-A6DA-62FF375EFED6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DCF!$G$128:$G$130</c:f>
              <c:strCache>
                <c:ptCount val="3"/>
                <c:pt idx="0">
                  <c:v>LTM EBITDA Purchase Multiple at 1.3%-3.3% Perpetuity Growth at 9.5% WACC</c:v>
                </c:pt>
                <c:pt idx="1">
                  <c:v>LTM EBITDA Purchase Multiple at 13.8x-19.4x Exit EBITDA Multiple at 9.5% WACC</c:v>
                </c:pt>
                <c:pt idx="2">
                  <c:v>LTM EBITDA Purchase Multiple at 7.5%-11.5% WACC at 11.0x Exit EBITDA</c:v>
                </c:pt>
              </c:strCache>
            </c:strRef>
          </c:cat>
          <c:val>
            <c:numRef>
              <c:f>DCF!$P$128:$P$130</c:f>
              <c:numCache>
                <c:formatCode>#,##0.00_);\(#,##0.00\)</c:formatCode>
                <c:ptCount val="3"/>
                <c:pt idx="0">
                  <c:v>1.3227025884458783</c:v>
                </c:pt>
                <c:pt idx="1">
                  <c:v>5.6841760271544608</c:v>
                </c:pt>
                <c:pt idx="2">
                  <c:v>2.9230270310347208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9-4BC6-A6DA-62FF375EFED6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1.3%-3.3% Perpetuity Growth at 9.5% WACC</c:v>
                </c:pt>
                <c:pt idx="1">
                  <c:v>LTM EBITDA Purchase Multiple at 13.8x-19.4x Exit EBITDA Multiple at 9.5% WACC</c:v>
                </c:pt>
                <c:pt idx="2">
                  <c:v>LTM EBITDA Purchase Multiple at 7.5%-11.5% WACC at 11.0x Exit EBITDA</c:v>
                </c:pt>
              </c:strCache>
            </c:strRef>
          </c:cat>
          <c:val>
            <c:numRef>
              <c:f>DCF!$Q$128:$Q$130</c:f>
              <c:numCache>
                <c:formatCode>#,##0.00_);\(#,##0.00\)</c:formatCode>
                <c:ptCount val="3"/>
                <c:pt idx="0">
                  <c:v>6.1091041958918568</c:v>
                </c:pt>
                <c:pt idx="1">
                  <c:v>19.448673742553776</c:v>
                </c:pt>
                <c:pt idx="2">
                  <c:v>18.145988357092008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9-4BC6-A6DA-62FF375EF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309850</xdr:colOff>
      <xdr:row>107</xdr:row>
      <xdr:rowOff>68856</xdr:rowOff>
    </xdr:from>
    <xdr:to>
      <xdr:col>5</xdr:col>
      <xdr:colOff>57700</xdr:colOff>
      <xdr:row>124</xdr:row>
      <xdr:rowOff>187694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8CDA4-D7BB-4A89-92D3-3A20BABF8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107</xdr:row>
      <xdr:rowOff>10468</xdr:rowOff>
    </xdr:from>
    <xdr:to>
      <xdr:col>15</xdr:col>
      <xdr:colOff>586911</xdr:colOff>
      <xdr:row>125</xdr:row>
      <xdr:rowOff>48173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FED627-E16C-474A-9EA3-B98979EFA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AF57-252E-4B12-8F9D-57AAA435D07E}">
  <sheetPr>
    <tabColor theme="4"/>
  </sheetPr>
  <dimension ref="B1:Q132"/>
  <sheetViews>
    <sheetView tabSelected="1" zoomScaleNormal="100" workbookViewId="0"/>
  </sheetViews>
  <sheetFormatPr defaultColWidth="9.140625" defaultRowHeight="15" x14ac:dyDescent="0.25"/>
  <cols>
    <col min="1" max="1" width="1.42578125" customWidth="1"/>
    <col min="2" max="2" width="54.42578125" customWidth="1"/>
    <col min="3" max="3" width="13.42578125" customWidth="1"/>
    <col min="4" max="9" width="12.7109375" customWidth="1"/>
    <col min="10" max="10" width="1.7109375" customWidth="1"/>
    <col min="11" max="11" width="12.140625" bestFit="1" customWidth="1"/>
    <col min="12" max="16" width="9.42578125" customWidth="1"/>
  </cols>
  <sheetData>
    <row r="1" spans="2:10" ht="15.75" thickBot="1" x14ac:dyDescent="0.3"/>
    <row r="2" spans="2:10" ht="15.75" thickBot="1" x14ac:dyDescent="0.3">
      <c r="B2" s="3" t="s">
        <v>9</v>
      </c>
      <c r="C2" s="4"/>
      <c r="D2" s="4"/>
      <c r="E2" s="4"/>
      <c r="F2" s="4"/>
      <c r="G2" s="4"/>
      <c r="H2" s="4"/>
      <c r="I2" s="4"/>
    </row>
    <row r="3" spans="2:10" x14ac:dyDescent="0.25">
      <c r="B3" s="5" t="s">
        <v>261</v>
      </c>
    </row>
    <row r="4" spans="2:10" x14ac:dyDescent="0.25">
      <c r="B4" t="s">
        <v>0</v>
      </c>
      <c r="D4" s="6">
        <v>46022</v>
      </c>
      <c r="F4" t="s">
        <v>5</v>
      </c>
      <c r="H4" s="7">
        <f>WACC!E21</f>
        <v>9.5311639642438967E-2</v>
      </c>
    </row>
    <row r="5" spans="2:10" x14ac:dyDescent="0.25">
      <c r="B5" t="s">
        <v>1</v>
      </c>
      <c r="D5" s="8">
        <f>EOMONTH(D4,12)</f>
        <v>46387</v>
      </c>
      <c r="F5" t="s">
        <v>262</v>
      </c>
      <c r="H5" s="9">
        <v>198.79</v>
      </c>
    </row>
    <row r="6" spans="2:10" x14ac:dyDescent="0.25">
      <c r="B6" t="s">
        <v>2</v>
      </c>
      <c r="D6" s="6">
        <v>46022</v>
      </c>
      <c r="F6" t="s">
        <v>6</v>
      </c>
      <c r="H6" s="10">
        <v>46066</v>
      </c>
      <c r="J6" s="11"/>
    </row>
    <row r="7" spans="2:10" x14ac:dyDescent="0.25">
      <c r="B7" t="s">
        <v>3</v>
      </c>
      <c r="D7" s="6">
        <v>46066</v>
      </c>
      <c r="F7" t="s">
        <v>7</v>
      </c>
      <c r="H7" s="12">
        <v>0</v>
      </c>
      <c r="I7" s="11"/>
      <c r="J7" s="11"/>
    </row>
    <row r="8" spans="2:10" x14ac:dyDescent="0.25">
      <c r="B8" t="s">
        <v>4</v>
      </c>
      <c r="D8" s="13">
        <f>YEARFRAC(D7,D5)</f>
        <v>0.8833333333333333</v>
      </c>
    </row>
    <row r="9" spans="2:10" x14ac:dyDescent="0.25">
      <c r="D9" s="14"/>
      <c r="F9" t="s">
        <v>8</v>
      </c>
      <c r="H9" s="14" t="str">
        <f>'3 Statement Model'!C12</f>
        <v>Base case</v>
      </c>
    </row>
    <row r="10" spans="2:10" x14ac:dyDescent="0.25">
      <c r="B10" s="15" t="s">
        <v>10</v>
      </c>
      <c r="C10" s="16"/>
      <c r="D10" s="17"/>
      <c r="F10" s="16"/>
      <c r="G10" s="16"/>
      <c r="H10" s="16"/>
      <c r="I10" s="16"/>
    </row>
    <row r="11" spans="2:10" ht="17.25" customHeight="1" x14ac:dyDescent="0.4">
      <c r="C11" s="18" t="s">
        <v>11</v>
      </c>
      <c r="D11" s="18" t="s">
        <v>12</v>
      </c>
      <c r="E11" s="19" t="s">
        <v>13</v>
      </c>
      <c r="F11" s="18"/>
      <c r="G11" s="18"/>
      <c r="H11" s="18"/>
      <c r="I11" s="18"/>
    </row>
    <row r="12" spans="2:10" x14ac:dyDescent="0.25">
      <c r="B12" s="2" t="s">
        <v>14</v>
      </c>
      <c r="C12" s="20">
        <f>D7</f>
        <v>46066</v>
      </c>
      <c r="D12" s="252">
        <f>D4</f>
        <v>46022</v>
      </c>
      <c r="E12" s="253">
        <f>EOMONTH(D12,12)</f>
        <v>46387</v>
      </c>
      <c r="F12" s="20">
        <f>EOMONTH(E12,12)</f>
        <v>46752</v>
      </c>
      <c r="G12" s="20">
        <f t="shared" ref="G12:I12" si="0">EOMONTH(F12,12)</f>
        <v>47118</v>
      </c>
      <c r="H12" s="20">
        <f t="shared" si="0"/>
        <v>47483</v>
      </c>
      <c r="I12" s="20">
        <f t="shared" si="0"/>
        <v>47848</v>
      </c>
    </row>
    <row r="13" spans="2:10" x14ac:dyDescent="0.25">
      <c r="B13" s="2"/>
      <c r="D13" s="21"/>
      <c r="E13" s="22"/>
      <c r="F13" s="22"/>
      <c r="G13" s="22"/>
      <c r="H13" s="22"/>
      <c r="I13" s="22"/>
    </row>
    <row r="14" spans="2:10" x14ac:dyDescent="0.25">
      <c r="B14" t="s">
        <v>15</v>
      </c>
      <c r="C14" s="23">
        <f ca="1">+E14*(1-$D$8)+D14*$D$8</f>
        <v>727206.1165997854</v>
      </c>
      <c r="D14" s="24">
        <f>'3 Statement Model'!E18</f>
        <v>716924</v>
      </c>
      <c r="E14" s="25">
        <f ca="1">'3 Statement Model'!F18</f>
        <v>805056.42799816001</v>
      </c>
      <c r="F14" s="25">
        <f ca="1">'3 Statement Model'!G18</f>
        <v>895555.17988476728</v>
      </c>
      <c r="G14" s="25">
        <f ca="1">'3 Statement Model'!H18</f>
        <v>1009191.8184382734</v>
      </c>
      <c r="H14" s="25">
        <f ca="1">'3 Statement Model'!I18</f>
        <v>1137247.7646031785</v>
      </c>
      <c r="I14" s="25">
        <f ca="1">'3 Statement Model'!J18</f>
        <v>1281552.6785545698</v>
      </c>
    </row>
    <row r="15" spans="2:10" x14ac:dyDescent="0.25">
      <c r="B15" s="26" t="s">
        <v>16</v>
      </c>
      <c r="D15" s="27"/>
      <c r="E15" s="13">
        <f ca="1">E14/D14-1</f>
        <v>0.12293134000000006</v>
      </c>
      <c r="F15" s="13">
        <f ca="1">F14/E14-1</f>
        <v>0.11241293000000008</v>
      </c>
      <c r="G15" s="13">
        <f ca="1">G14/F14-1</f>
        <v>0.12688959999999994</v>
      </c>
      <c r="H15" s="13">
        <f ca="1">H14/G14-1</f>
        <v>0.12688959999999994</v>
      </c>
      <c r="I15" s="13">
        <f ca="1">I14/H14-1</f>
        <v>0.12688959999999994</v>
      </c>
    </row>
    <row r="16" spans="2:10" x14ac:dyDescent="0.25">
      <c r="B16" t="s">
        <v>17</v>
      </c>
      <c r="C16" s="23">
        <f ca="1">+E16*(1-$D$8)+D16*$D$8</f>
        <v>150534.35335630865</v>
      </c>
      <c r="D16" s="24">
        <f>'3 Statement Model'!E34</f>
        <v>145731</v>
      </c>
      <c r="E16" s="25">
        <f ca="1">'3 Statement Model'!F34</f>
        <v>186902.60019693122</v>
      </c>
      <c r="F16" s="25">
        <f ca="1">'3 Statement Model'!G34</f>
        <v>209981.58896838577</v>
      </c>
      <c r="G16" s="25">
        <f ca="1">'3 Statement Model'!H34</f>
        <v>254753.10482022303</v>
      </c>
      <c r="H16" s="25">
        <f ca="1">'3 Statement Model'!I34</f>
        <v>291579.08883902524</v>
      </c>
      <c r="I16" s="25">
        <f ca="1">'3 Statement Model'!J34</f>
        <v>333636.68433282024</v>
      </c>
    </row>
    <row r="17" spans="2:13" x14ac:dyDescent="0.25">
      <c r="B17" s="26" t="s">
        <v>18</v>
      </c>
      <c r="D17" s="28">
        <f t="shared" ref="D17:I17" si="1">D16/D14</f>
        <v>0.20327259235288539</v>
      </c>
      <c r="E17" s="13">
        <f t="shared" ca="1" si="1"/>
        <v>0.23216086934636387</v>
      </c>
      <c r="F17" s="13">
        <f t="shared" ca="1" si="1"/>
        <v>0.23447085526924705</v>
      </c>
      <c r="G17" s="13">
        <f t="shared" ca="1" si="1"/>
        <v>0.25243278846082406</v>
      </c>
      <c r="H17" s="13">
        <f t="shared" ca="1" si="1"/>
        <v>0.25639011824372887</v>
      </c>
      <c r="I17" s="13">
        <f t="shared" ca="1" si="1"/>
        <v>0.26033786196687636</v>
      </c>
    </row>
    <row r="18" spans="2:13" x14ac:dyDescent="0.25">
      <c r="B18" t="s">
        <v>19</v>
      </c>
      <c r="C18" s="23">
        <f ca="1">+E18*(1-$D$8)+D18*$D$8</f>
        <v>82301.023254293934</v>
      </c>
      <c r="D18" s="24">
        <f>'3 Statement Model'!E24</f>
        <v>79975</v>
      </c>
      <c r="E18" s="25">
        <f ca="1">'3 Statement Model'!F24</f>
        <v>99912.342179662344</v>
      </c>
      <c r="F18" s="25">
        <f ca="1">'3 Statement Model'!G24</f>
        <v>115972.81188497937</v>
      </c>
      <c r="G18" s="25">
        <f ca="1">'3 Statement Model'!H24</f>
        <v>147341.8574308074</v>
      </c>
      <c r="H18" s="25">
        <f ca="1">'3 Statement Model'!I24</f>
        <v>166134.82354825956</v>
      </c>
      <c r="I18" s="25">
        <f ca="1">'3 Statement Model'!J24</f>
        <v>187312.42161916877</v>
      </c>
    </row>
    <row r="19" spans="2:13" x14ac:dyDescent="0.25">
      <c r="B19" s="26" t="s">
        <v>18</v>
      </c>
      <c r="D19" s="28">
        <f>D18/D14</f>
        <v>0.11155296795755199</v>
      </c>
      <c r="E19" s="13">
        <f t="shared" ref="E19:I19" ca="1" si="2">E18/E14</f>
        <v>0.12410601133650062</v>
      </c>
      <c r="F19" s="13">
        <f t="shared" ca="1" si="2"/>
        <v>0.12949823136515362</v>
      </c>
      <c r="G19" s="13">
        <f t="shared" ca="1" si="2"/>
        <v>0.1459998532873753</v>
      </c>
      <c r="H19" s="13">
        <f t="shared" ca="1" si="2"/>
        <v>0.1460849858045043</v>
      </c>
      <c r="I19" s="13">
        <f t="shared" ca="1" si="2"/>
        <v>0.14616053226187598</v>
      </c>
    </row>
    <row r="20" spans="2:13" x14ac:dyDescent="0.25">
      <c r="B20" s="26"/>
      <c r="D20" s="24"/>
      <c r="E20" s="25"/>
      <c r="F20" s="25"/>
      <c r="G20" s="25"/>
      <c r="H20" s="25"/>
      <c r="I20" s="25"/>
    </row>
    <row r="21" spans="2:13" x14ac:dyDescent="0.25">
      <c r="B21" t="s">
        <v>20</v>
      </c>
      <c r="D21" s="29">
        <f>D22*D18</f>
        <v>15686.64205485505</v>
      </c>
      <c r="E21" s="23">
        <f t="shared" ref="E21:I21" ca="1" si="3">E22*E18</f>
        <v>18523.748240109398</v>
      </c>
      <c r="F21" s="23">
        <f t="shared" ca="1" si="3"/>
        <v>21744.902228433632</v>
      </c>
      <c r="G21" s="23">
        <f t="shared" ca="1" si="3"/>
        <v>27405.585482130176</v>
      </c>
      <c r="H21" s="23">
        <f t="shared" ca="1" si="3"/>
        <v>30901.077179976277</v>
      </c>
      <c r="I21" s="23">
        <f t="shared" ca="1" si="3"/>
        <v>34840.110421165395</v>
      </c>
    </row>
    <row r="22" spans="2:13" ht="15" customHeight="1" x14ac:dyDescent="0.25">
      <c r="B22" s="26" t="s">
        <v>21</v>
      </c>
      <c r="D22" s="30">
        <f>'3 Statement Model'!E43</f>
        <v>0.19614432078593375</v>
      </c>
      <c r="E22" s="30">
        <f>'3 Statement Model'!F43</f>
        <v>0.18540000000000001</v>
      </c>
      <c r="F22" s="30">
        <f>'3 Statement Model'!G43</f>
        <v>0.1875</v>
      </c>
      <c r="G22" s="30">
        <f>'3 Statement Model'!H43</f>
        <v>0.186</v>
      </c>
      <c r="H22" s="30">
        <f>'3 Statement Model'!I43</f>
        <v>0.186</v>
      </c>
      <c r="I22" s="30">
        <f>'3 Statement Model'!J43</f>
        <v>0.186</v>
      </c>
    </row>
    <row r="23" spans="2:13" x14ac:dyDescent="0.25">
      <c r="B23" s="1" t="s">
        <v>260</v>
      </c>
      <c r="C23" s="1"/>
      <c r="D23" s="31">
        <f t="shared" ref="D23:I23" si="4">D18*(1-D22)</f>
        <v>64288.357945144955</v>
      </c>
      <c r="E23" s="32">
        <f t="shared" ca="1" si="4"/>
        <v>81388.593939552942</v>
      </c>
      <c r="F23" s="32">
        <f t="shared" ca="1" si="4"/>
        <v>94227.909656545729</v>
      </c>
      <c r="G23" s="32">
        <f t="shared" ca="1" si="4"/>
        <v>119936.27194867724</v>
      </c>
      <c r="H23" s="32">
        <f t="shared" ca="1" si="4"/>
        <v>135233.74636828329</v>
      </c>
      <c r="I23" s="32">
        <f t="shared" ca="1" si="4"/>
        <v>152472.31119800339</v>
      </c>
    </row>
    <row r="24" spans="2:13" x14ac:dyDescent="0.25">
      <c r="D24" s="23"/>
      <c r="E24" s="23"/>
      <c r="F24" s="23"/>
      <c r="G24" s="23"/>
      <c r="H24" s="23"/>
      <c r="I24" s="23"/>
    </row>
    <row r="25" spans="2:13" x14ac:dyDescent="0.25">
      <c r="B25" t="s">
        <v>22</v>
      </c>
      <c r="D25" s="25">
        <f>'3 Statement Model'!E33</f>
        <v>65756</v>
      </c>
      <c r="E25" s="25">
        <f ca="1">'3 Statement Model'!F33</f>
        <v>86990.258017268876</v>
      </c>
      <c r="F25" s="25">
        <f ca="1">'3 Statement Model'!G33</f>
        <v>94008.777083406385</v>
      </c>
      <c r="G25" s="25">
        <f ca="1">'3 Statement Model'!H33</f>
        <v>107411.24738941563</v>
      </c>
      <c r="H25" s="25">
        <f ca="1">'3 Statement Model'!I33</f>
        <v>125444.2652907657</v>
      </c>
      <c r="I25" s="25">
        <f ca="1">'3 Statement Model'!J33</f>
        <v>146324.26271365149</v>
      </c>
      <c r="M25" s="33"/>
    </row>
    <row r="26" spans="2:13" x14ac:dyDescent="0.25">
      <c r="B26" t="s">
        <v>23</v>
      </c>
      <c r="D26" s="23"/>
      <c r="E26" s="23">
        <f ca="1">D32-E32</f>
        <v>13721.087390136279</v>
      </c>
      <c r="F26" s="23">
        <f ca="1">E32-F32</f>
        <v>12679.897692412938</v>
      </c>
      <c r="G26" s="23">
        <f ca="1">F32-G32</f>
        <v>15743.302084923547</v>
      </c>
      <c r="H26" s="23">
        <f ca="1">G32-H32</f>
        <v>19553.089350565802</v>
      </c>
      <c r="I26" s="23">
        <f ca="1">H32-I32</f>
        <v>22034.173037023254</v>
      </c>
      <c r="M26" s="33"/>
    </row>
    <row r="27" spans="2:13" x14ac:dyDescent="0.25">
      <c r="B27" t="s">
        <v>24</v>
      </c>
      <c r="D27" s="25"/>
      <c r="E27" s="25">
        <f>'3 Statement Model'!F85</f>
        <v>-178185.02</v>
      </c>
      <c r="F27" s="25">
        <f>'3 Statement Model'!G85</f>
        <v>-179424.13</v>
      </c>
      <c r="G27" s="25">
        <f>'3 Statement Model'!H85</f>
        <v>-195389.49</v>
      </c>
      <c r="H27" s="25">
        <f ca="1">'3 Statement Model'!I85</f>
        <v>-220182.38423030399</v>
      </c>
      <c r="I27" s="25">
        <f ca="1">'3 Statement Model'!J85</f>
        <v>-248121.23889233355</v>
      </c>
      <c r="M27" s="33"/>
    </row>
    <row r="28" spans="2:13" x14ac:dyDescent="0.25">
      <c r="B28" s="26" t="s">
        <v>25</v>
      </c>
      <c r="D28" s="25"/>
      <c r="E28" s="13">
        <f ca="1">E27/E14</f>
        <v>-0.2213323362227812</v>
      </c>
      <c r="F28" s="13">
        <f ca="1">F27/F14</f>
        <v>-0.20034960885725303</v>
      </c>
      <c r="G28" s="13">
        <f ca="1">G27/G14</f>
        <v>-0.19360986328879048</v>
      </c>
      <c r="H28" s="13">
        <f ca="1">H27/H14</f>
        <v>-0.19360986328879051</v>
      </c>
      <c r="I28" s="13">
        <f ca="1">I27/I14</f>
        <v>-0.19360986328879051</v>
      </c>
      <c r="M28" s="33"/>
    </row>
    <row r="29" spans="2:13" x14ac:dyDescent="0.25">
      <c r="D29" s="25"/>
      <c r="E29" s="25"/>
      <c r="F29" s="25"/>
      <c r="G29" s="25"/>
      <c r="H29" s="25"/>
      <c r="I29" s="25"/>
      <c r="M29" s="33"/>
    </row>
    <row r="30" spans="2:13" x14ac:dyDescent="0.25">
      <c r="B30" s="1" t="s">
        <v>26</v>
      </c>
      <c r="C30" s="1"/>
      <c r="D30" s="32"/>
      <c r="E30" s="32">
        <f ca="1">E23+E25+E26+E27</f>
        <v>3914.9193469580787</v>
      </c>
      <c r="F30" s="32">
        <f ca="1">F23+F25+F26+F27</f>
        <v>21492.454432365077</v>
      </c>
      <c r="G30" s="32">
        <f ca="1">G23+G25+G26+G27</f>
        <v>47701.33142301644</v>
      </c>
      <c r="H30" s="32">
        <f ca="1">H23+H25+H26+H27</f>
        <v>60048.71677931078</v>
      </c>
      <c r="I30" s="32">
        <f ca="1">I23+I25+I26+I27</f>
        <v>72709.50805634461</v>
      </c>
      <c r="M30" s="32"/>
    </row>
    <row r="31" spans="2:13" x14ac:dyDescent="0.25">
      <c r="D31" s="25"/>
      <c r="M31" s="33"/>
    </row>
    <row r="32" spans="2:13" x14ac:dyDescent="0.25">
      <c r="B32" t="s">
        <v>27</v>
      </c>
      <c r="D32" s="25">
        <f>SUM('3 Statement Model'!E49,'3 Statement Model'!E50)-SUM('3 Statement Model'!E55,'3 Statement Model'!E56,'3 Statement Model'!E57)</f>
        <v>-111951</v>
      </c>
      <c r="E32" s="25">
        <f ca="1">SUM('3 Statement Model'!F49,'3 Statement Model'!F50)-SUM('3 Statement Model'!F55,'3 Statement Model'!F56,'3 Statement Model'!F57)</f>
        <v>-125672.08739013628</v>
      </c>
      <c r="F32" s="25">
        <f ca="1">SUM('3 Statement Model'!G49,'3 Statement Model'!G50)-SUM('3 Statement Model'!G55,'3 Statement Model'!G56,'3 Statement Model'!G57)</f>
        <v>-138351.98508254922</v>
      </c>
      <c r="G32" s="25">
        <f ca="1">SUM('3 Statement Model'!H49,'3 Statement Model'!H50)-SUM('3 Statement Model'!H55,'3 Statement Model'!H56,'3 Statement Model'!H57)</f>
        <v>-154095.28716747276</v>
      </c>
      <c r="H32" s="25">
        <f ca="1">SUM('3 Statement Model'!I49,'3 Statement Model'!I50)-SUM('3 Statement Model'!I55,'3 Statement Model'!I56,'3 Statement Model'!I57)</f>
        <v>-173648.37651803857</v>
      </c>
      <c r="I32" s="25">
        <f ca="1">SUM('3 Statement Model'!J49,'3 Statement Model'!J50)-SUM('3 Statement Model'!J55,'3 Statement Model'!J56,'3 Statement Model'!J57)</f>
        <v>-195682.54955506182</v>
      </c>
    </row>
    <row r="33" spans="2:13" x14ac:dyDescent="0.25">
      <c r="B33" s="26" t="s">
        <v>25</v>
      </c>
      <c r="D33" s="13">
        <f t="shared" ref="D33:I33" si="5">D32/D14</f>
        <v>-0.15615462726872026</v>
      </c>
      <c r="E33" s="13">
        <f t="shared" ca="1" si="5"/>
        <v>-0.15610345190663269</v>
      </c>
      <c r="F33" s="13">
        <f t="shared" ca="1" si="5"/>
        <v>-0.15448739306086223</v>
      </c>
      <c r="G33" s="13">
        <f t="shared" ca="1" si="5"/>
        <v>-0.15269177212111723</v>
      </c>
      <c r="H33" s="13">
        <f t="shared" ca="1" si="5"/>
        <v>-0.15269177212111729</v>
      </c>
      <c r="I33" s="13">
        <f t="shared" ca="1" si="5"/>
        <v>-0.15269177212111726</v>
      </c>
      <c r="J33" s="25"/>
    </row>
    <row r="34" spans="2:13" x14ac:dyDescent="0.25">
      <c r="D34" s="25"/>
      <c r="E34" s="13"/>
      <c r="F34" s="13"/>
      <c r="G34" s="13"/>
      <c r="H34" s="13"/>
      <c r="I34" s="13"/>
      <c r="J34" s="25"/>
      <c r="K34" s="34"/>
      <c r="M34" s="13"/>
    </row>
    <row r="35" spans="2:13" x14ac:dyDescent="0.25">
      <c r="B35" s="15" t="str">
        <f>"Present value of UFCF on "&amp;TEXT(D7,"mmm dd, yyyy")&amp;" valuation date"</f>
        <v>Present value of UFCF on Feb 13, 2026 valuation date</v>
      </c>
      <c r="C35" s="16"/>
      <c r="D35" s="35"/>
      <c r="E35" s="16"/>
      <c r="F35" s="35"/>
      <c r="G35" s="35"/>
      <c r="H35" s="35"/>
      <c r="I35" s="35"/>
      <c r="J35" s="25"/>
    </row>
    <row r="36" spans="2:13" ht="17.25" x14ac:dyDescent="0.4">
      <c r="B36" s="1"/>
      <c r="D36" s="36" t="s">
        <v>28</v>
      </c>
      <c r="E36" s="36" t="s">
        <v>29</v>
      </c>
      <c r="F36" s="37" t="s">
        <v>30</v>
      </c>
      <c r="G36" s="37" t="s">
        <v>31</v>
      </c>
      <c r="H36" s="37" t="s">
        <v>32</v>
      </c>
      <c r="I36" s="37" t="s">
        <v>33</v>
      </c>
      <c r="J36" s="25"/>
    </row>
    <row r="37" spans="2:13" x14ac:dyDescent="0.25">
      <c r="B37" t="s">
        <v>34</v>
      </c>
      <c r="D37" s="38">
        <f>D7</f>
        <v>46066</v>
      </c>
      <c r="E37" s="38">
        <f>IF($H$7=1,AVERAGE(E12,D37),E12)</f>
        <v>46387</v>
      </c>
      <c r="F37" s="38">
        <f>IF($H$7=1,AVERAGE(F12,E12),F12)</f>
        <v>46752</v>
      </c>
      <c r="G37" s="38">
        <f>IF($H$7=1,AVERAGE(G12,F12),G12)</f>
        <v>47118</v>
      </c>
      <c r="H37" s="38">
        <f>IF($H$7=1,AVERAGE(H12,G12),H12)</f>
        <v>47483</v>
      </c>
      <c r="I37" s="38">
        <f>IF($H$7=1,AVERAGE(I12,H12),I12)</f>
        <v>47848</v>
      </c>
      <c r="J37" s="25"/>
    </row>
    <row r="38" spans="2:13" x14ac:dyDescent="0.25">
      <c r="B38" t="s">
        <v>35</v>
      </c>
      <c r="C38" s="39">
        <f>D8</f>
        <v>0.8833333333333333</v>
      </c>
      <c r="D38" s="33"/>
      <c r="E38" s="40">
        <f ca="1">E30*C38</f>
        <v>3458.1787564796359</v>
      </c>
      <c r="F38" s="40">
        <f ca="1">F30</f>
        <v>21492.454432365077</v>
      </c>
      <c r="G38" s="40">
        <f ca="1">G30</f>
        <v>47701.33142301644</v>
      </c>
      <c r="H38" s="40">
        <f ca="1">H30</f>
        <v>60048.71677931078</v>
      </c>
      <c r="I38" s="40">
        <f ca="1">I30</f>
        <v>72709.50805634461</v>
      </c>
      <c r="J38" s="23"/>
    </row>
    <row r="39" spans="2:13" ht="15" customHeight="1" x14ac:dyDescent="0.25">
      <c r="B39" s="1" t="s">
        <v>36</v>
      </c>
      <c r="C39" s="41"/>
      <c r="D39" s="32"/>
      <c r="E39" s="32">
        <f ca="1">E38/(1+$H$4)^((E37-$D$7)/365)</f>
        <v>3192.0958575692953</v>
      </c>
      <c r="F39" s="32">
        <f ca="1">F38/(1+$H$4)^((F37-$D$7)/365)</f>
        <v>18112.433241762188</v>
      </c>
      <c r="G39" s="32">
        <f ca="1">G38/(1+$H$4)^((G37-$D$7)/365)</f>
        <v>36692.327307744956</v>
      </c>
      <c r="H39" s="32">
        <f ca="1">H38/(1+$H$4)^((H37-$D$7)/365)</f>
        <v>42170.697675851079</v>
      </c>
      <c r="I39" s="32">
        <f ca="1">I38/(1+$H$4)^((I37-$D$7)/365)</f>
        <v>46618.742904057668</v>
      </c>
      <c r="J39" s="23"/>
    </row>
    <row r="41" spans="2:13" x14ac:dyDescent="0.25">
      <c r="B41" s="15" t="s">
        <v>37</v>
      </c>
      <c r="C41" s="15"/>
      <c r="E41" s="15" t="s">
        <v>38</v>
      </c>
      <c r="F41" s="16"/>
      <c r="G41" s="16"/>
      <c r="H41" s="16"/>
      <c r="I41" s="16"/>
    </row>
    <row r="42" spans="2:13" x14ac:dyDescent="0.25">
      <c r="B42" t="s">
        <v>39</v>
      </c>
      <c r="C42" s="42">
        <v>2.3E-2</v>
      </c>
      <c r="E42" t="s">
        <v>40</v>
      </c>
      <c r="I42" s="33">
        <f ca="1">I16</f>
        <v>333636.68433282024</v>
      </c>
      <c r="J42" s="33"/>
    </row>
    <row r="43" spans="2:13" x14ac:dyDescent="0.25">
      <c r="B43" s="43" t="str">
        <f>YEAR(I12)&amp;" FCF x (1+g)"</f>
        <v>2030 FCF x (1+g)</v>
      </c>
      <c r="C43" s="33">
        <f ca="1">I38*(1+C42)</f>
        <v>74381.826741640529</v>
      </c>
      <c r="E43" t="s">
        <v>41</v>
      </c>
      <c r="I43" s="44">
        <v>10.3</v>
      </c>
      <c r="J43" s="44"/>
    </row>
    <row r="44" spans="2:13" x14ac:dyDescent="0.25">
      <c r="B44" t="str">
        <f>"Terminal value in "&amp;YEAR(I12)</f>
        <v>Terminal value in 2030</v>
      </c>
      <c r="C44" s="33">
        <f ca="1">C43/(H4-C42)</f>
        <v>1028628.6842538498</v>
      </c>
      <c r="E44" t="str">
        <f>"Terminal value in "&amp;YEAR(I12)</f>
        <v>Terminal value in 2030</v>
      </c>
      <c r="I44" s="33">
        <f ca="1">I42*I43</f>
        <v>3436457.8486280488</v>
      </c>
      <c r="J44" s="33"/>
    </row>
    <row r="45" spans="2:13" x14ac:dyDescent="0.25">
      <c r="B45" t="s">
        <v>42</v>
      </c>
      <c r="C45" s="33">
        <f ca="1">C44/(1+H4)^((I37-$D$37)/365)</f>
        <v>659520.01955244888</v>
      </c>
      <c r="E45" t="s">
        <v>42</v>
      </c>
      <c r="I45" s="33">
        <f ca="1">I44/(1+H4)^((I37-D37)/365)</f>
        <v>2203334.1887236554</v>
      </c>
      <c r="J45" s="33"/>
    </row>
    <row r="46" spans="2:13" x14ac:dyDescent="0.25">
      <c r="B46" t="s">
        <v>43</v>
      </c>
      <c r="C46" s="23">
        <f ca="1">SUM(E39:I39)</f>
        <v>146786.29698698519</v>
      </c>
      <c r="E46" t="s">
        <v>43</v>
      </c>
      <c r="I46" s="33">
        <f ca="1">C46</f>
        <v>146786.29698698519</v>
      </c>
      <c r="J46" s="33"/>
    </row>
    <row r="47" spans="2:13" x14ac:dyDescent="0.25">
      <c r="B47" s="1" t="s">
        <v>44</v>
      </c>
      <c r="C47" s="45">
        <f ca="1">C46+C45</f>
        <v>806306.31653943402</v>
      </c>
      <c r="E47" s="1" t="s">
        <v>45</v>
      </c>
      <c r="I47" s="45">
        <f ca="1">SUM(I45:I46)</f>
        <v>2350120.4857106404</v>
      </c>
      <c r="J47" s="45"/>
    </row>
    <row r="49" spans="2:10" x14ac:dyDescent="0.25">
      <c r="B49" s="46" t="s">
        <v>46</v>
      </c>
      <c r="C49" s="47">
        <f ca="1">C45/$C$47</f>
        <v>0.81795219263942565</v>
      </c>
      <c r="E49" s="46" t="s">
        <v>46</v>
      </c>
      <c r="I49" s="47">
        <f ca="1">+I45/I47</f>
        <v>0.93754094827074408</v>
      </c>
      <c r="J49" s="47"/>
    </row>
    <row r="50" spans="2:10" x14ac:dyDescent="0.25">
      <c r="B50" s="46" t="s">
        <v>47</v>
      </c>
      <c r="C50" s="47">
        <f ca="1">1-C49</f>
        <v>0.18204780736057435</v>
      </c>
      <c r="E50" s="46" t="s">
        <v>48</v>
      </c>
      <c r="G50" s="48"/>
      <c r="I50" s="49">
        <f ca="1">1-I49</f>
        <v>6.2459051729255921E-2</v>
      </c>
      <c r="J50" s="49"/>
    </row>
    <row r="51" spans="2:10" x14ac:dyDescent="0.25">
      <c r="B51" s="46" t="s">
        <v>49</v>
      </c>
      <c r="C51" s="50">
        <f ca="1">(C44/I16)</f>
        <v>3.0830802863025046</v>
      </c>
      <c r="E51" t="s">
        <v>50</v>
      </c>
      <c r="I51" s="51">
        <f ca="1">(H4-I38/I44)/(1+I38/I44)</f>
        <v>7.2616919672731761E-2</v>
      </c>
      <c r="J51" s="51"/>
    </row>
    <row r="52" spans="2:10" x14ac:dyDescent="0.25">
      <c r="B52" s="46"/>
      <c r="C52" s="2"/>
      <c r="D52" s="50"/>
      <c r="I52" s="51"/>
      <c r="J52" s="51"/>
    </row>
    <row r="53" spans="2:10" x14ac:dyDescent="0.25">
      <c r="B53" s="15" t="s">
        <v>51</v>
      </c>
      <c r="C53" s="16"/>
      <c r="E53" s="15" t="s">
        <v>52</v>
      </c>
      <c r="F53" s="16"/>
      <c r="G53" s="15"/>
      <c r="H53" s="16"/>
      <c r="I53" s="16"/>
    </row>
    <row r="54" spans="2:10" x14ac:dyDescent="0.25">
      <c r="B54" t="s">
        <v>53</v>
      </c>
      <c r="C54" s="10" t="s">
        <v>259</v>
      </c>
    </row>
    <row r="55" spans="2:10" x14ac:dyDescent="0.25">
      <c r="B55" s="52" t="s">
        <v>54</v>
      </c>
      <c r="C55" s="38">
        <f>D6</f>
        <v>46022</v>
      </c>
      <c r="G55" s="53" t="s">
        <v>53</v>
      </c>
      <c r="H55" s="54" t="s">
        <v>55</v>
      </c>
      <c r="I55" s="54" t="s">
        <v>56</v>
      </c>
    </row>
    <row r="56" spans="2:10" x14ac:dyDescent="0.25">
      <c r="B56" s="55" t="s">
        <v>57</v>
      </c>
      <c r="C56" s="56"/>
      <c r="E56" t="s">
        <v>58</v>
      </c>
      <c r="G56" s="10" t="s">
        <v>258</v>
      </c>
      <c r="H56" s="254">
        <f>'3 Statement Model'!C10</f>
        <v>46022</v>
      </c>
      <c r="I56" s="60">
        <f>'3 Statement Model'!C11</f>
        <v>10734.92087</v>
      </c>
      <c r="J56" s="57"/>
    </row>
    <row r="57" spans="2:10" x14ac:dyDescent="0.25">
      <c r="B57" s="26" t="s">
        <v>59</v>
      </c>
      <c r="C57" s="60">
        <f>'3 Statement Model'!E59</f>
        <v>65648</v>
      </c>
      <c r="E57" s="52" t="s">
        <v>60</v>
      </c>
      <c r="G57" s="10" t="s">
        <v>258</v>
      </c>
      <c r="H57" s="254">
        <f>'3 Statement Model'!C10</f>
        <v>46022</v>
      </c>
      <c r="I57" s="255">
        <v>222.5</v>
      </c>
      <c r="J57" s="59"/>
    </row>
    <row r="58" spans="2:10" x14ac:dyDescent="0.25">
      <c r="B58" s="26" t="s">
        <v>61</v>
      </c>
      <c r="C58" s="58">
        <v>0</v>
      </c>
      <c r="E58" s="52" t="s">
        <v>62</v>
      </c>
      <c r="G58" s="10"/>
      <c r="H58" s="10"/>
      <c r="I58" s="256">
        <v>0</v>
      </c>
    </row>
    <row r="59" spans="2:10" ht="15" customHeight="1" x14ac:dyDescent="0.25">
      <c r="B59" s="26" t="s">
        <v>63</v>
      </c>
      <c r="C59" s="58">
        <v>0</v>
      </c>
      <c r="E59" t="s">
        <v>61</v>
      </c>
      <c r="G59" s="10"/>
      <c r="H59" s="10"/>
      <c r="I59" s="256">
        <v>0</v>
      </c>
    </row>
    <row r="60" spans="2:10" x14ac:dyDescent="0.25">
      <c r="B60" s="61" t="s">
        <v>64</v>
      </c>
      <c r="C60" s="58">
        <v>0</v>
      </c>
      <c r="E60" t="s">
        <v>65</v>
      </c>
      <c r="G60" s="10"/>
      <c r="H60" s="10"/>
      <c r="I60" s="256">
        <v>0</v>
      </c>
    </row>
    <row r="61" spans="2:10" ht="15" customHeight="1" x14ac:dyDescent="0.25">
      <c r="B61" s="55" t="s">
        <v>66</v>
      </c>
      <c r="E61" s="62" t="s">
        <v>67</v>
      </c>
      <c r="I61" s="63">
        <f>SUM(I56:I60)</f>
        <v>10957.42087</v>
      </c>
      <c r="J61" s="64"/>
    </row>
    <row r="62" spans="2:10" x14ac:dyDescent="0.25">
      <c r="B62" s="65" t="s">
        <v>68</v>
      </c>
      <c r="C62" s="60">
        <f>'3 Statement Model'!E48</f>
        <v>123029</v>
      </c>
      <c r="J62" s="66"/>
    </row>
    <row r="63" spans="2:10" x14ac:dyDescent="0.25">
      <c r="B63" s="65" t="s">
        <v>69</v>
      </c>
      <c r="C63" s="58">
        <v>0</v>
      </c>
      <c r="J63" s="66"/>
    </row>
    <row r="64" spans="2:10" x14ac:dyDescent="0.25">
      <c r="J64" s="67"/>
    </row>
    <row r="65" spans="2:6" x14ac:dyDescent="0.25">
      <c r="B65" s="68" t="s">
        <v>51</v>
      </c>
      <c r="C65" s="257">
        <f>SUM(C57:C60)-SUM(C62:C63)</f>
        <v>-57381</v>
      </c>
    </row>
    <row r="67" spans="2:6" x14ac:dyDescent="0.25">
      <c r="B67" s="15" t="s">
        <v>70</v>
      </c>
      <c r="C67" s="16"/>
      <c r="D67" s="16"/>
    </row>
    <row r="68" spans="2:6" ht="17.25" x14ac:dyDescent="0.4">
      <c r="C68" s="70" t="s">
        <v>71</v>
      </c>
      <c r="D68" s="70" t="s">
        <v>17</v>
      </c>
    </row>
    <row r="69" spans="2:6" x14ac:dyDescent="0.25">
      <c r="B69" t="s">
        <v>72</v>
      </c>
      <c r="C69" s="71">
        <f ca="1">C47</f>
        <v>806306.31653943402</v>
      </c>
      <c r="D69" s="71">
        <f ca="1">I47</f>
        <v>2350120.4857106404</v>
      </c>
    </row>
    <row r="70" spans="2:6" x14ac:dyDescent="0.25">
      <c r="B70" t="s">
        <v>51</v>
      </c>
      <c r="C70" s="72">
        <f>$C$65</f>
        <v>-57381</v>
      </c>
      <c r="D70" s="72">
        <f>C70</f>
        <v>-57381</v>
      </c>
    </row>
    <row r="71" spans="2:6" x14ac:dyDescent="0.25">
      <c r="B71" t="s">
        <v>73</v>
      </c>
      <c r="C71" s="73">
        <f ca="1">C69-C70</f>
        <v>863687.31653943402</v>
      </c>
      <c r="D71" s="73">
        <f ca="1">D69-D70</f>
        <v>2407501.4857106404</v>
      </c>
    </row>
    <row r="72" spans="2:6" x14ac:dyDescent="0.25">
      <c r="B72" t="s">
        <v>52</v>
      </c>
      <c r="C72" s="73">
        <f>$I$61</f>
        <v>10957.42087</v>
      </c>
      <c r="D72" s="73">
        <f>C72</f>
        <v>10957.42087</v>
      </c>
    </row>
    <row r="73" spans="2:6" x14ac:dyDescent="0.25">
      <c r="B73" s="1" t="s">
        <v>74</v>
      </c>
      <c r="C73" s="74">
        <f ca="1">C71/C72</f>
        <v>78.822135864480487</v>
      </c>
      <c r="D73" s="74">
        <f ca="1">D71/D72</f>
        <v>219.71424793055709</v>
      </c>
    </row>
    <row r="75" spans="2:6" ht="17.25" x14ac:dyDescent="0.4">
      <c r="C75" s="18" t="s">
        <v>75</v>
      </c>
      <c r="D75" s="18"/>
    </row>
    <row r="76" spans="2:6" x14ac:dyDescent="0.25">
      <c r="B76" s="53"/>
      <c r="C76" s="54" t="s">
        <v>71</v>
      </c>
      <c r="D76" s="54" t="s">
        <v>17</v>
      </c>
    </row>
    <row r="77" spans="2:6" x14ac:dyDescent="0.25">
      <c r="B77" t="s">
        <v>76</v>
      </c>
      <c r="C77" s="258">
        <f ca="1">C69/$C$14</f>
        <v>1.1087727373767142</v>
      </c>
      <c r="D77" s="258">
        <f ca="1">D69/$C$14</f>
        <v>3.231711659273651</v>
      </c>
    </row>
    <row r="78" spans="2:6" x14ac:dyDescent="0.25">
      <c r="B78" t="s">
        <v>77</v>
      </c>
      <c r="C78" s="258">
        <f ca="1">C69/$C$16</f>
        <v>5.3562944176000808</v>
      </c>
      <c r="D78" s="258">
        <f ca="1">D69/$C$16</f>
        <v>15.611854924224515</v>
      </c>
    </row>
    <row r="79" spans="2:6" x14ac:dyDescent="0.25">
      <c r="B79" s="23" t="s">
        <v>78</v>
      </c>
      <c r="C79" s="258">
        <f ca="1">C69/$C$18</f>
        <v>9.7970387810137733</v>
      </c>
      <c r="D79" s="258">
        <f ca="1">D69/$C$18</f>
        <v>28.555179422851541</v>
      </c>
    </row>
    <row r="80" spans="2:6" ht="17.25" x14ac:dyDescent="0.4">
      <c r="B80" s="23"/>
      <c r="C80" s="18" t="s">
        <v>79</v>
      </c>
      <c r="D80" s="18"/>
      <c r="E80" s="75"/>
      <c r="F80" s="75"/>
    </row>
    <row r="81" spans="2:17" x14ac:dyDescent="0.25">
      <c r="B81" s="53"/>
      <c r="C81" s="54" t="s">
        <v>71</v>
      </c>
      <c r="D81" s="54" t="s">
        <v>17</v>
      </c>
      <c r="E81" s="75"/>
      <c r="F81" s="75"/>
    </row>
    <row r="82" spans="2:17" x14ac:dyDescent="0.25">
      <c r="B82" t="s">
        <v>76</v>
      </c>
      <c r="C82" s="258">
        <f ca="1">C69/$E$14</f>
        <v>1.0015525477442395</v>
      </c>
      <c r="D82" s="258">
        <f ca="1">D69/$E$14</f>
        <v>2.9191997032486419</v>
      </c>
      <c r="E82" s="75"/>
      <c r="F82" s="75"/>
    </row>
    <row r="83" spans="2:17" x14ac:dyDescent="0.25">
      <c r="B83" t="s">
        <v>77</v>
      </c>
      <c r="C83" s="258">
        <f ca="1">C69/$E$16</f>
        <v>4.3140454744335486</v>
      </c>
      <c r="D83" s="258">
        <f ca="1">D69/$E$16</f>
        <v>12.574038473699241</v>
      </c>
      <c r="E83" s="75"/>
      <c r="F83" s="75"/>
    </row>
    <row r="84" spans="2:17" x14ac:dyDescent="0.25">
      <c r="B84" s="23" t="s">
        <v>78</v>
      </c>
      <c r="C84" s="258">
        <f ca="1">C69/$E$18</f>
        <v>8.0701372718250788</v>
      </c>
      <c r="D84" s="258">
        <f ca="1">D69/$E$18</f>
        <v>23.521823574955878</v>
      </c>
      <c r="E84" s="75"/>
      <c r="F84" s="75"/>
    </row>
    <row r="86" spans="2:17" x14ac:dyDescent="0.25">
      <c r="B86" s="15" t="s">
        <v>80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2:17" x14ac:dyDescent="0.25">
      <c r="B87" s="1"/>
    </row>
    <row r="88" spans="2:17" ht="17.25" customHeight="1" x14ac:dyDescent="0.4">
      <c r="B88" s="76"/>
      <c r="C88" s="1"/>
      <c r="D88" s="77" t="s">
        <v>74</v>
      </c>
      <c r="E88" s="18"/>
      <c r="F88" s="18"/>
      <c r="G88" s="18"/>
      <c r="H88" s="18"/>
      <c r="I88" s="18"/>
      <c r="J88" s="78"/>
      <c r="L88" s="77" t="s">
        <v>81</v>
      </c>
      <c r="M88" s="18"/>
      <c r="N88" s="18"/>
      <c r="O88" s="18"/>
      <c r="P88" s="18"/>
      <c r="Q88" s="18"/>
    </row>
    <row r="89" spans="2:17" ht="15" customHeight="1" x14ac:dyDescent="0.25">
      <c r="B89" s="76"/>
      <c r="D89" s="52"/>
      <c r="E89" s="79" t="s">
        <v>82</v>
      </c>
      <c r="F89" s="79"/>
      <c r="G89" s="79"/>
      <c r="H89" s="79"/>
      <c r="I89" s="79"/>
      <c r="J89" s="80"/>
      <c r="L89" s="52"/>
      <c r="M89" s="79" t="s">
        <v>82</v>
      </c>
      <c r="N89" s="79"/>
      <c r="O89" s="79"/>
      <c r="P89" s="79"/>
      <c r="Q89" s="79"/>
    </row>
    <row r="90" spans="2:17" ht="15" customHeight="1" x14ac:dyDescent="0.25">
      <c r="B90" s="76"/>
      <c r="C90" s="81"/>
      <c r="D90" s="82">
        <f ca="1">C73</f>
        <v>78.822135864480487</v>
      </c>
      <c r="E90" s="83">
        <f>F90-0.005</f>
        <v>1.2999999999999998E-2</v>
      </c>
      <c r="F90" s="84">
        <f>G90-0.005</f>
        <v>1.7999999999999999E-2</v>
      </c>
      <c r="G90" s="85">
        <v>2.3E-2</v>
      </c>
      <c r="H90" s="84">
        <f>G90+0.005</f>
        <v>2.8000000000000001E-2</v>
      </c>
      <c r="I90" s="84">
        <f>H90+0.005</f>
        <v>3.3000000000000002E-2</v>
      </c>
      <c r="J90" s="86"/>
      <c r="L90" s="87">
        <f ca="1">C78</f>
        <v>5.3562944176000808</v>
      </c>
      <c r="M90" s="84">
        <f>N90-0.005</f>
        <v>1.2999999999999998E-2</v>
      </c>
      <c r="N90" s="84">
        <f>O90-0.005</f>
        <v>1.7999999999999999E-2</v>
      </c>
      <c r="O90" s="85">
        <v>2.3E-2</v>
      </c>
      <c r="P90" s="84">
        <f>O90+0.005</f>
        <v>2.8000000000000001E-2</v>
      </c>
      <c r="Q90" s="88">
        <f>P90+0.005</f>
        <v>3.3000000000000002E-2</v>
      </c>
    </row>
    <row r="91" spans="2:17" ht="15" customHeight="1" x14ac:dyDescent="0.25">
      <c r="B91" s="76"/>
      <c r="D91" s="89">
        <f>D92+0.01</f>
        <v>0.11531163964243896</v>
      </c>
      <c r="E91" s="90">
        <f t="dataTable" ref="E91:I95" dt2D="1" dtr="1" r1="C42" r2="H4" ca="1"/>
        <v>56.344845723476389</v>
      </c>
      <c r="F91" s="90">
        <v>58.52637858897986</v>
      </c>
      <c r="G91" s="90">
        <v>60.944234075764172</v>
      </c>
      <c r="H91" s="90">
        <v>63.639012032071015</v>
      </c>
      <c r="I91" s="90">
        <v>66.66117721672282</v>
      </c>
      <c r="J91" s="91"/>
      <c r="L91" s="89">
        <f t="shared" ref="L91" si="6">L92+0.01</f>
        <v>0.11531163964243896</v>
      </c>
      <c r="M91" s="92">
        <f t="dataTable" ref="M91:Q95" dt2D="1" dtr="1" r1="C42" r2="H4" ca="1"/>
        <v>3.7201686921378148</v>
      </c>
      <c r="N91" s="92">
        <v>3.8789628359069712</v>
      </c>
      <c r="O91" s="92">
        <v>4.0549589429804538</v>
      </c>
      <c r="P91" s="92">
        <v>4.2511122831323958</v>
      </c>
      <c r="Q91" s="92">
        <v>4.4710961946353658</v>
      </c>
    </row>
    <row r="92" spans="2:17" ht="15" customHeight="1" x14ac:dyDescent="0.25">
      <c r="B92" s="76"/>
      <c r="D92" s="89">
        <f>D93+0.01</f>
        <v>0.10531163964243896</v>
      </c>
      <c r="E92" s="90">
        <v>62.859495082648252</v>
      </c>
      <c r="F92" s="90">
        <v>65.650162906152545</v>
      </c>
      <c r="G92" s="90">
        <v>68.779867570087504</v>
      </c>
      <c r="H92" s="90">
        <v>72.314388983273901</v>
      </c>
      <c r="I92" s="90">
        <v>76.337700504202772</v>
      </c>
      <c r="J92" s="91"/>
      <c r="L92" s="89">
        <f>L93+0.01</f>
        <v>0.10531163964243896</v>
      </c>
      <c r="M92" s="92">
        <v>4.194371113428053</v>
      </c>
      <c r="N92" s="92">
        <v>4.3975042931224264</v>
      </c>
      <c r="O92" s="92">
        <v>4.6253160213886391</v>
      </c>
      <c r="P92" s="92">
        <v>4.8825944288405241</v>
      </c>
      <c r="Q92" s="92">
        <v>5.1754519503498493</v>
      </c>
    </row>
    <row r="93" spans="2:17" ht="15" customHeight="1" x14ac:dyDescent="0.25">
      <c r="B93" s="76"/>
      <c r="C93" s="81" t="s">
        <v>83</v>
      </c>
      <c r="D93" s="93">
        <v>9.5311639642438967E-2</v>
      </c>
      <c r="E93" s="90">
        <v>70.992880542743691</v>
      </c>
      <c r="F93" s="90">
        <v>74.654336256996231</v>
      </c>
      <c r="G93" s="90">
        <v>78.822135864480487</v>
      </c>
      <c r="H93" s="90">
        <v>83.609115101167674</v>
      </c>
      <c r="I93" s="90">
        <v>89.164326286838403</v>
      </c>
      <c r="J93" s="91"/>
      <c r="K93" s="81" t="s">
        <v>83</v>
      </c>
      <c r="L93" s="93">
        <v>9.5311639642438967E-2</v>
      </c>
      <c r="M93" s="92">
        <v>4.7864016074459785</v>
      </c>
      <c r="N93" s="92">
        <v>5.0529195839969443</v>
      </c>
      <c r="O93" s="92">
        <v>5.3562944176000808</v>
      </c>
      <c r="P93" s="92">
        <v>5.7047394404327019</v>
      </c>
      <c r="Q93" s="92">
        <v>6.1091041958918568</v>
      </c>
    </row>
    <row r="94" spans="2:17" ht="15" customHeight="1" x14ac:dyDescent="0.25">
      <c r="B94" s="76"/>
      <c r="D94" s="89">
        <f t="shared" ref="D94:D95" si="7">D93-0.01</f>
        <v>8.5311639642438972E-2</v>
      </c>
      <c r="E94" s="90">
        <v>81.418403233747597</v>
      </c>
      <c r="F94" s="90">
        <v>86.378900945484659</v>
      </c>
      <c r="G94" s="90">
        <v>92.135477486185536</v>
      </c>
      <c r="H94" s="90">
        <v>98.896488130781506</v>
      </c>
      <c r="I94" s="90">
        <v>106.94994739499803</v>
      </c>
      <c r="J94" s="91"/>
      <c r="L94" s="89">
        <f t="shared" ref="L94:L95" si="8">L93-0.01</f>
        <v>8.5311639642438972E-2</v>
      </c>
      <c r="M94" s="92">
        <v>5.5452771555719984</v>
      </c>
      <c r="N94" s="92">
        <v>5.9063526173539387</v>
      </c>
      <c r="O94" s="92">
        <v>6.3253747908343474</v>
      </c>
      <c r="P94" s="92">
        <v>6.8175098914783572</v>
      </c>
      <c r="Q94" s="92">
        <v>7.4037225442709618</v>
      </c>
    </row>
    <row r="95" spans="2:17" ht="15" customHeight="1" x14ac:dyDescent="0.25">
      <c r="B95" s="94" t="s">
        <v>84</v>
      </c>
      <c r="D95" s="95">
        <f t="shared" si="7"/>
        <v>7.5311639642438977E-2</v>
      </c>
      <c r="E95" s="90">
        <v>95.241864558197008</v>
      </c>
      <c r="F95" s="90">
        <v>102.25025797171858</v>
      </c>
      <c r="G95" s="90">
        <v>110.59839020081263</v>
      </c>
      <c r="H95" s="90">
        <v>120.71102103789949</v>
      </c>
      <c r="I95" s="90">
        <v>133.21368708103017</v>
      </c>
      <c r="J95" s="91"/>
      <c r="L95" s="95">
        <f t="shared" si="8"/>
        <v>7.5311639642438977E-2</v>
      </c>
      <c r="M95" s="92">
        <v>6.5514892276671812</v>
      </c>
      <c r="N95" s="92">
        <v>7.0616313616206439</v>
      </c>
      <c r="O95" s="92">
        <v>7.6692933090306123</v>
      </c>
      <c r="P95" s="92">
        <v>8.4053934065453788</v>
      </c>
      <c r="Q95" s="92">
        <v>9.3154645682248276</v>
      </c>
    </row>
    <row r="96" spans="2:17" ht="15" customHeight="1" x14ac:dyDescent="0.25">
      <c r="B96" s="94" t="s">
        <v>85</v>
      </c>
      <c r="E96" s="96"/>
      <c r="F96" s="96"/>
      <c r="G96" s="96"/>
      <c r="H96" s="96"/>
      <c r="I96" s="96"/>
      <c r="J96" s="97"/>
    </row>
    <row r="97" spans="2:17" ht="17.25" customHeight="1" x14ac:dyDescent="0.4">
      <c r="B97" s="76"/>
      <c r="D97" s="77" t="s">
        <v>74</v>
      </c>
      <c r="E97" s="18"/>
      <c r="F97" s="18"/>
      <c r="G97" s="18"/>
      <c r="H97" s="18"/>
      <c r="I97" s="18"/>
      <c r="J97" s="78"/>
      <c r="L97" s="77" t="s">
        <v>81</v>
      </c>
      <c r="M97" s="18"/>
      <c r="N97" s="18"/>
      <c r="O97" s="18"/>
      <c r="P97" s="18"/>
      <c r="Q97" s="18"/>
    </row>
    <row r="98" spans="2:17" ht="15" customHeight="1" x14ac:dyDescent="0.25">
      <c r="B98" s="76"/>
      <c r="E98" s="79" t="s">
        <v>86</v>
      </c>
      <c r="F98" s="79"/>
      <c r="G98" s="79"/>
      <c r="H98" s="79"/>
      <c r="I98" s="79"/>
      <c r="J98" s="80"/>
      <c r="M98" s="79" t="s">
        <v>86</v>
      </c>
      <c r="N98" s="79"/>
      <c r="O98" s="79"/>
      <c r="P98" s="79"/>
      <c r="Q98" s="79"/>
    </row>
    <row r="99" spans="2:17" ht="15" customHeight="1" x14ac:dyDescent="0.25">
      <c r="B99" s="76"/>
      <c r="D99" s="98">
        <f ca="1">D73</f>
        <v>219.71424793055709</v>
      </c>
      <c r="E99" s="99">
        <f>F99-1</f>
        <v>9</v>
      </c>
      <c r="F99" s="99">
        <f>G99-1</f>
        <v>10</v>
      </c>
      <c r="G99" s="100">
        <v>11</v>
      </c>
      <c r="H99" s="99">
        <f>G99+1</f>
        <v>12</v>
      </c>
      <c r="I99" s="99">
        <f>H99+1</f>
        <v>13</v>
      </c>
      <c r="J99" s="101"/>
      <c r="L99" s="87">
        <f ca="1">D78</f>
        <v>15.611854924224515</v>
      </c>
      <c r="M99" s="99">
        <f>N99-1</f>
        <v>9</v>
      </c>
      <c r="N99" s="99">
        <f>O99-1</f>
        <v>10</v>
      </c>
      <c r="O99" s="100">
        <v>11</v>
      </c>
      <c r="P99" s="99">
        <f>O99+1</f>
        <v>12</v>
      </c>
      <c r="Q99" s="102">
        <f>P99+1</f>
        <v>13</v>
      </c>
    </row>
    <row r="100" spans="2:17" ht="15" customHeight="1" x14ac:dyDescent="0.25">
      <c r="B100" s="76"/>
      <c r="D100" s="89">
        <f t="shared" ref="D100" si="9">D101+0.01</f>
        <v>0.11531163964243896</v>
      </c>
      <c r="E100" s="90">
        <f t="dataTable" ref="E100:I104" dt2D="1" dtr="1" r1="I43" r2="H4" ca="1"/>
        <v>178.62801009392422</v>
      </c>
      <c r="F100" s="90">
        <v>196.49979572044421</v>
      </c>
      <c r="G100" s="90">
        <v>214.37158134696423</v>
      </c>
      <c r="H100" s="90">
        <v>232.24336697348423</v>
      </c>
      <c r="I100" s="90">
        <v>250.11515260000431</v>
      </c>
      <c r="J100" s="91"/>
      <c r="L100" s="89">
        <f t="shared" ref="L100" si="10">L101+0.01</f>
        <v>0.11531163964243896</v>
      </c>
      <c r="M100" s="92">
        <f t="dataTable" ref="M100:Q104" dt2D="1" dtr="1" r1="I43" r2="H4" ca="1"/>
        <v>12.621180769765557</v>
      </c>
      <c r="N100" s="92">
        <v>13.92207104791142</v>
      </c>
      <c r="O100" s="92">
        <v>15.222961326057288</v>
      </c>
      <c r="P100" s="92">
        <v>16.523851604203152</v>
      </c>
      <c r="Q100" s="92">
        <v>17.82474188234902</v>
      </c>
    </row>
    <row r="101" spans="2:17" ht="15" customHeight="1" x14ac:dyDescent="0.25">
      <c r="B101" s="76"/>
      <c r="D101" s="89">
        <f>D102+0.01</f>
        <v>0.10531163964243896</v>
      </c>
      <c r="E101" s="90">
        <v>186.2743647803</v>
      </c>
      <c r="F101" s="90">
        <v>204.94953618084259</v>
      </c>
      <c r="G101" s="90">
        <v>223.62470758138519</v>
      </c>
      <c r="H101" s="90">
        <v>242.29987898192783</v>
      </c>
      <c r="I101" s="90">
        <v>260.97505038247039</v>
      </c>
      <c r="J101" s="91"/>
      <c r="L101" s="89">
        <f>L102+0.01</f>
        <v>0.10531163964243896</v>
      </c>
      <c r="M101" s="92">
        <v>13.177760211945124</v>
      </c>
      <c r="N101" s="92">
        <v>14.537129075547824</v>
      </c>
      <c r="O101" s="92">
        <v>15.896497939150525</v>
      </c>
      <c r="P101" s="92">
        <v>17.255866802753225</v>
      </c>
      <c r="Q101" s="92">
        <v>18.615235666355925</v>
      </c>
    </row>
    <row r="102" spans="2:17" ht="15" customHeight="1" x14ac:dyDescent="0.25">
      <c r="B102" s="76"/>
      <c r="C102" s="81" t="s">
        <v>83</v>
      </c>
      <c r="D102" s="93">
        <v>9.5311639642438967E-2</v>
      </c>
      <c r="E102" s="90">
        <v>194.33503450543503</v>
      </c>
      <c r="F102" s="90">
        <v>213.85750637091351</v>
      </c>
      <c r="G102" s="90">
        <v>233.37997823639202</v>
      </c>
      <c r="H102" s="90">
        <v>252.90245010187053</v>
      </c>
      <c r="I102" s="90">
        <v>272.42492196734906</v>
      </c>
      <c r="J102" s="91"/>
      <c r="K102" s="81" t="s">
        <v>83</v>
      </c>
      <c r="L102" s="93">
        <v>9.5311639642438967E-2</v>
      </c>
      <c r="M102" s="92">
        <v>13.764497715399315</v>
      </c>
      <c r="N102" s="92">
        <v>15.18554172218793</v>
      </c>
      <c r="O102" s="92">
        <v>16.606585728976544</v>
      </c>
      <c r="P102" s="92">
        <v>18.02762973576516</v>
      </c>
      <c r="Q102" s="92">
        <v>19.448673742553776</v>
      </c>
    </row>
    <row r="103" spans="2:17" ht="15" customHeight="1" x14ac:dyDescent="0.25">
      <c r="B103" s="76"/>
      <c r="D103" s="89">
        <f t="shared" ref="D103:D104" si="11">D102-0.01</f>
        <v>8.5311639642438972E-2</v>
      </c>
      <c r="E103" s="90">
        <v>202.83662952822201</v>
      </c>
      <c r="F103" s="90">
        <v>223.25315136923004</v>
      </c>
      <c r="G103" s="90">
        <v>243.6696732102381</v>
      </c>
      <c r="H103" s="90">
        <v>264.08619505124614</v>
      </c>
      <c r="I103" s="90">
        <v>284.50271689225417</v>
      </c>
      <c r="J103" s="91"/>
      <c r="L103" s="89">
        <f t="shared" ref="L103:L104" si="12">L102-0.01</f>
        <v>8.5311639642438972E-2</v>
      </c>
      <c r="M103" s="92">
        <v>14.383330245343354</v>
      </c>
      <c r="N103" s="92">
        <v>15.869452300047731</v>
      </c>
      <c r="O103" s="92">
        <v>17.355574354752111</v>
      </c>
      <c r="P103" s="92">
        <v>18.841696409456489</v>
      </c>
      <c r="Q103" s="92">
        <v>20.327818464160867</v>
      </c>
    </row>
    <row r="104" spans="2:17" ht="15" customHeight="1" x14ac:dyDescent="0.25">
      <c r="B104" s="76"/>
      <c r="D104" s="95">
        <f t="shared" si="11"/>
        <v>7.5311639642438977E-2</v>
      </c>
      <c r="E104" s="90">
        <v>211.80773952133427</v>
      </c>
      <c r="F104" s="90">
        <v>233.168107231996</v>
      </c>
      <c r="G104" s="90">
        <v>254.52847494265785</v>
      </c>
      <c r="H104" s="90">
        <v>275.88884265331961</v>
      </c>
      <c r="I104" s="90">
        <v>297.24921036398143</v>
      </c>
      <c r="J104" s="91"/>
      <c r="L104" s="95">
        <f t="shared" si="12"/>
        <v>7.5311639642438977E-2</v>
      </c>
      <c r="M104" s="92">
        <v>15.036338848854085</v>
      </c>
      <c r="N104" s="92">
        <v>16.591163602973044</v>
      </c>
      <c r="O104" s="92">
        <v>18.145988357092008</v>
      </c>
      <c r="P104" s="92">
        <v>19.700813111210969</v>
      </c>
      <c r="Q104" s="92">
        <v>21.25563786532993</v>
      </c>
    </row>
    <row r="105" spans="2:17" x14ac:dyDescent="0.25">
      <c r="J105" s="103"/>
    </row>
    <row r="106" spans="2:17" x14ac:dyDescent="0.25">
      <c r="B106" s="104" t="s">
        <v>87</v>
      </c>
      <c r="C106" s="104"/>
      <c r="D106" s="104"/>
      <c r="E106" s="104"/>
      <c r="G106" s="104" t="s">
        <v>88</v>
      </c>
      <c r="H106" s="104"/>
      <c r="I106" s="104"/>
      <c r="J106" s="105"/>
      <c r="K106" s="104"/>
      <c r="L106" s="104"/>
      <c r="M106" s="104"/>
      <c r="N106" s="104"/>
      <c r="O106" s="104"/>
      <c r="P106" s="104"/>
    </row>
    <row r="107" spans="2:17" x14ac:dyDescent="0.25">
      <c r="J107" s="103"/>
    </row>
    <row r="108" spans="2:17" x14ac:dyDescent="0.25">
      <c r="J108" s="103"/>
    </row>
    <row r="109" spans="2:17" x14ac:dyDescent="0.25">
      <c r="J109" s="103"/>
    </row>
    <row r="110" spans="2:17" x14ac:dyDescent="0.25">
      <c r="J110" s="103"/>
    </row>
    <row r="111" spans="2:17" x14ac:dyDescent="0.25">
      <c r="J111" s="103"/>
    </row>
    <row r="112" spans="2:17" x14ac:dyDescent="0.25">
      <c r="J112" s="103"/>
    </row>
    <row r="113" spans="2:17" x14ac:dyDescent="0.25">
      <c r="J113" s="103"/>
    </row>
    <row r="114" spans="2:17" x14ac:dyDescent="0.25">
      <c r="J114" s="103"/>
    </row>
    <row r="115" spans="2:17" x14ac:dyDescent="0.25">
      <c r="J115" s="103"/>
    </row>
    <row r="116" spans="2:17" x14ac:dyDescent="0.25">
      <c r="J116" s="103"/>
    </row>
    <row r="117" spans="2:17" x14ac:dyDescent="0.25">
      <c r="J117" s="103"/>
    </row>
    <row r="118" spans="2:17" x14ac:dyDescent="0.25">
      <c r="J118" s="103"/>
    </row>
    <row r="119" spans="2:17" x14ac:dyDescent="0.25">
      <c r="J119" s="103"/>
    </row>
    <row r="120" spans="2:17" x14ac:dyDescent="0.25">
      <c r="J120" s="103"/>
      <c r="M120" s="106"/>
    </row>
    <row r="121" spans="2:17" x14ac:dyDescent="0.25">
      <c r="J121" s="103"/>
    </row>
    <row r="122" spans="2:17" x14ac:dyDescent="0.25">
      <c r="J122" s="103"/>
    </row>
    <row r="123" spans="2:17" x14ac:dyDescent="0.25">
      <c r="J123" s="103"/>
    </row>
    <row r="124" spans="2:17" x14ac:dyDescent="0.25">
      <c r="J124" s="103"/>
    </row>
    <row r="125" spans="2:17" x14ac:dyDescent="0.25">
      <c r="J125" s="103"/>
    </row>
    <row r="126" spans="2:17" x14ac:dyDescent="0.25">
      <c r="J126" s="103"/>
    </row>
    <row r="127" spans="2:17" x14ac:dyDescent="0.25">
      <c r="B127" s="107"/>
      <c r="C127" s="108" t="s">
        <v>89</v>
      </c>
      <c r="D127" s="108" t="s">
        <v>90</v>
      </c>
      <c r="E127" s="109" t="s">
        <v>91</v>
      </c>
      <c r="G127" s="107"/>
      <c r="H127" s="110"/>
      <c r="I127" s="110"/>
      <c r="J127" s="111"/>
      <c r="K127" s="110"/>
      <c r="L127" s="110"/>
      <c r="M127" s="110"/>
      <c r="N127" s="110"/>
      <c r="O127" s="108" t="s">
        <v>89</v>
      </c>
      <c r="P127" s="108" t="s">
        <v>90</v>
      </c>
      <c r="Q127" s="109" t="s">
        <v>91</v>
      </c>
    </row>
    <row r="128" spans="2:17" x14ac:dyDescent="0.25">
      <c r="B128" s="112" t="str">
        <f>"DCF Value at "&amp;TEXT(E99,"0.0x")&amp;"-"&amp;TEXT(I99,"0.0x")&amp;" Exit EBITDA Range at "&amp;TEXT(D102,"0.0%")&amp;" WACC"</f>
        <v>DCF Value at 9.0x-13.0x Exit EBITDA Range at 9.5% WACC</v>
      </c>
      <c r="C128" s="113">
        <f>E102</f>
        <v>194.33503450543503</v>
      </c>
      <c r="D128" s="113">
        <f>E128-C128</f>
        <v>78.089887461914032</v>
      </c>
      <c r="E128" s="114">
        <f>I102</f>
        <v>272.42492196734906</v>
      </c>
      <c r="G128" s="112" t="str">
        <f>"LTM EBITDA Purchase Multiple at "&amp;TEXT(M90,"0.0%")&amp;"-"&amp;TEXT(Q90,"0.0%")&amp;" Perpetuity Growth at "&amp;TEXT(L93,"0.0%")&amp;" WACC"</f>
        <v>LTM EBITDA Purchase Multiple at 1.3%-3.3% Perpetuity Growth at 9.5% WACC</v>
      </c>
      <c r="J128" s="103"/>
      <c r="O128" s="115">
        <f>M93</f>
        <v>4.7864016074459785</v>
      </c>
      <c r="P128" s="115">
        <f>Q128-O128</f>
        <v>1.3227025884458783</v>
      </c>
      <c r="Q128" s="116">
        <f>Q93</f>
        <v>6.1091041958918568</v>
      </c>
    </row>
    <row r="129" spans="2:17" x14ac:dyDescent="0.25">
      <c r="B129" s="117" t="str">
        <f>"DCF Value at "&amp;TEXT(E90,"0.0%")&amp;"-"&amp;TEXT(I90,"0.0%")&amp;" Perpetuity Range at "&amp;TEXT(D102,"0.0%")&amp;" WACC"</f>
        <v>DCF Value at 1.3%-3.3% Perpetuity Range at 9.5% WACC</v>
      </c>
      <c r="C129" s="113">
        <f>E93</f>
        <v>70.992880542743691</v>
      </c>
      <c r="D129" s="113">
        <f>E129-C129</f>
        <v>18.171445744094711</v>
      </c>
      <c r="E129" s="114">
        <f>I93</f>
        <v>89.164326286838403</v>
      </c>
      <c r="G129" s="117" t="str">
        <f>"LTM EBITDA Purchase Multiple at "&amp;TEXT(M102,"0.0x")&amp;"-"&amp;TEXT(Q102,"0.0x")&amp;" Exit EBITDA Multiple at "&amp;TEXT(L102,"0.0%")&amp;" WACC"</f>
        <v>LTM EBITDA Purchase Multiple at 13.8x-19.4x Exit EBITDA Multiple at 9.5% WACC</v>
      </c>
      <c r="J129" s="103"/>
      <c r="O129" s="115">
        <f>M102</f>
        <v>13.764497715399315</v>
      </c>
      <c r="P129" s="115">
        <f>Q129-O129</f>
        <v>5.6841760271544608</v>
      </c>
      <c r="Q129" s="116">
        <f>Q102</f>
        <v>19.448673742553776</v>
      </c>
    </row>
    <row r="130" spans="2:17" x14ac:dyDescent="0.25">
      <c r="B130" s="118" t="s">
        <v>92</v>
      </c>
      <c r="C130" s="119">
        <v>161.38</v>
      </c>
      <c r="D130" s="120">
        <f>E130-C130</f>
        <v>97.220000000000027</v>
      </c>
      <c r="E130" s="121">
        <v>258.60000000000002</v>
      </c>
      <c r="G130" s="118" t="str">
        <f>"LTM EBITDA Purchase Multiple at "&amp;TEXT(L104,"0.0%")&amp;"-"&amp;TEXT(L100,"0.0%")&amp;" WACC at "&amp;TEXT(O99,"0.0x")&amp;" Exit EBITDA"</f>
        <v>LTM EBITDA Purchase Multiple at 7.5%-11.5% WACC at 11.0x Exit EBITDA</v>
      </c>
      <c r="H130" s="122"/>
      <c r="I130" s="122"/>
      <c r="J130" s="123"/>
      <c r="K130" s="122"/>
      <c r="L130" s="122"/>
      <c r="M130" s="122"/>
      <c r="N130" s="122"/>
      <c r="O130" s="120">
        <f>O100</f>
        <v>15.222961326057288</v>
      </c>
      <c r="P130" s="120">
        <f>Q130-O130</f>
        <v>2.9230270310347208</v>
      </c>
      <c r="Q130" s="124">
        <f>O104</f>
        <v>18.145988357092008</v>
      </c>
    </row>
    <row r="131" spans="2:17" x14ac:dyDescent="0.25">
      <c r="J131" s="103"/>
    </row>
    <row r="132" spans="2:17" x14ac:dyDescent="0.25">
      <c r="J132" s="103"/>
    </row>
  </sheetData>
  <conditionalFormatting sqref="E91:J95 E100:J104">
    <cfRule type="cellIs" dxfId="4" priority="1" operator="lessThan">
      <formula>$C$7</formula>
    </cfRule>
  </conditionalFormatting>
  <dataValidations count="1">
    <dataValidation type="list" allowBlank="1" showInputMessage="1" showErrorMessage="1" sqref="H7" xr:uid="{2CE3E0F2-176A-424C-AD28-2BC6EEC4693C}">
      <formula1>"0,1"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4C10-9E71-49D2-A8EC-25229D148798}">
  <sheetPr>
    <tabColor theme="4"/>
  </sheetPr>
  <dimension ref="B1:I47"/>
  <sheetViews>
    <sheetView zoomScaleNormal="100" workbookViewId="0"/>
  </sheetViews>
  <sheetFormatPr defaultColWidth="9.140625" defaultRowHeight="15" x14ac:dyDescent="0.25"/>
  <cols>
    <col min="1" max="1" width="1.42578125" customWidth="1"/>
    <col min="2" max="2" width="50.28515625" customWidth="1"/>
    <col min="3" max="3" width="13.42578125" customWidth="1"/>
    <col min="4" max="9" width="12.7109375" customWidth="1"/>
    <col min="10" max="10" width="1.7109375" customWidth="1"/>
    <col min="11" max="11" width="11" bestFit="1" customWidth="1"/>
    <col min="12" max="16" width="9.42578125" customWidth="1"/>
  </cols>
  <sheetData>
    <row r="1" spans="2:9" ht="15.75" thickBot="1" x14ac:dyDescent="0.3"/>
    <row r="2" spans="2:9" ht="15.75" thickBot="1" x14ac:dyDescent="0.3">
      <c r="B2" s="3" t="s">
        <v>215</v>
      </c>
      <c r="C2" s="4"/>
      <c r="D2" s="4"/>
      <c r="E2" s="4"/>
      <c r="F2" s="4"/>
      <c r="G2" s="4"/>
      <c r="H2" s="4"/>
      <c r="I2" s="4"/>
    </row>
    <row r="3" spans="2:9" x14ac:dyDescent="0.25">
      <c r="B3" s="5" t="s">
        <v>261</v>
      </c>
    </row>
    <row r="4" spans="2:9" ht="15" customHeight="1" x14ac:dyDescent="0.25">
      <c r="B4" s="220" t="s">
        <v>216</v>
      </c>
      <c r="C4" s="221"/>
      <c r="D4" s="126"/>
      <c r="E4" s="222"/>
      <c r="F4" s="223"/>
    </row>
    <row r="5" spans="2:9" x14ac:dyDescent="0.25">
      <c r="E5" s="53" t="s">
        <v>217</v>
      </c>
    </row>
    <row r="6" spans="2:9" ht="15" customHeight="1" x14ac:dyDescent="0.25">
      <c r="B6" t="s">
        <v>218</v>
      </c>
      <c r="C6" s="181">
        <v>3.9879999999999999E-2</v>
      </c>
      <c r="E6" t="s">
        <v>254</v>
      </c>
    </row>
    <row r="7" spans="2:9" ht="15" customHeight="1" x14ac:dyDescent="0.25">
      <c r="B7" t="s">
        <v>21</v>
      </c>
      <c r="C7" s="224">
        <f>'3 Statement Model'!J43</f>
        <v>0.186</v>
      </c>
      <c r="E7" t="s">
        <v>219</v>
      </c>
    </row>
    <row r="8" spans="2:9" ht="15" customHeight="1" x14ac:dyDescent="0.25">
      <c r="B8" t="s">
        <v>220</v>
      </c>
      <c r="C8" s="183">
        <f>C6*(1-C7)</f>
        <v>3.2462320000000003E-2</v>
      </c>
      <c r="E8" t="s">
        <v>221</v>
      </c>
    </row>
    <row r="10" spans="2:9" x14ac:dyDescent="0.25">
      <c r="B10" t="s">
        <v>222</v>
      </c>
      <c r="C10" s="181">
        <v>3.6110000000000003E-2</v>
      </c>
      <c r="E10" t="s">
        <v>255</v>
      </c>
    </row>
    <row r="11" spans="2:9" x14ac:dyDescent="0.25">
      <c r="B11" t="s">
        <v>223</v>
      </c>
      <c r="C11" s="225">
        <f>IF(C32="Observed",C34,C35)</f>
        <v>1.38</v>
      </c>
      <c r="E11" t="s">
        <v>224</v>
      </c>
    </row>
    <row r="12" spans="2:9" x14ac:dyDescent="0.25">
      <c r="B12" t="s">
        <v>225</v>
      </c>
      <c r="C12" s="181">
        <v>4.1700000000000001E-2</v>
      </c>
      <c r="E12" t="s">
        <v>256</v>
      </c>
    </row>
    <row r="13" spans="2:9" x14ac:dyDescent="0.25">
      <c r="B13" t="s">
        <v>226</v>
      </c>
      <c r="C13" s="226">
        <f>C10+C11*C12</f>
        <v>9.3656000000000003E-2</v>
      </c>
      <c r="E13" t="s">
        <v>227</v>
      </c>
    </row>
    <row r="15" spans="2:9" x14ac:dyDescent="0.25">
      <c r="B15" s="133" t="s">
        <v>228</v>
      </c>
      <c r="C15" s="122"/>
      <c r="D15" s="122"/>
      <c r="E15" s="122"/>
      <c r="F15" s="1"/>
    </row>
    <row r="16" spans="2:9" x14ac:dyDescent="0.25">
      <c r="B16" s="1"/>
      <c r="C16" s="81"/>
      <c r="D16" s="81" t="s">
        <v>229</v>
      </c>
      <c r="F16" s="1"/>
    </row>
    <row r="17" spans="2:6" ht="17.25" x14ac:dyDescent="0.4">
      <c r="C17" s="227" t="s">
        <v>230</v>
      </c>
      <c r="D17" s="227" t="s">
        <v>231</v>
      </c>
      <c r="E17" s="227" t="s">
        <v>232</v>
      </c>
    </row>
    <row r="18" spans="2:6" x14ac:dyDescent="0.25">
      <c r="B18" t="s">
        <v>233</v>
      </c>
      <c r="C18" s="228">
        <f>DCF!I61*DCF!H5</f>
        <v>2178225.6947472999</v>
      </c>
      <c r="D18" s="229"/>
      <c r="E18" s="161">
        <f>IF(D18,D18,C18/(C18+C19))</f>
        <v>1.0270557293243185</v>
      </c>
    </row>
    <row r="19" spans="2:6" x14ac:dyDescent="0.25">
      <c r="B19" t="s">
        <v>59</v>
      </c>
      <c r="C19" s="228">
        <f>'3 Statement Model'!E59-'3 Statement Model'!E48</f>
        <v>-57381</v>
      </c>
      <c r="D19" s="230">
        <f>1-D18</f>
        <v>1</v>
      </c>
      <c r="E19" s="161">
        <f>1-E18</f>
        <v>-2.7055729324318545E-2</v>
      </c>
    </row>
    <row r="21" spans="2:6" x14ac:dyDescent="0.25">
      <c r="B21" s="231" t="s">
        <v>234</v>
      </c>
      <c r="C21" s="232"/>
      <c r="D21" s="110"/>
      <c r="E21" s="233">
        <f>C8*E19+C13*E18</f>
        <v>9.5311639642438967E-2</v>
      </c>
    </row>
    <row r="22" spans="2:6" x14ac:dyDescent="0.25">
      <c r="B22" s="1"/>
      <c r="C22" s="234"/>
    </row>
    <row r="23" spans="2:6" x14ac:dyDescent="0.25">
      <c r="B23" s="133" t="s">
        <v>235</v>
      </c>
      <c r="C23" s="122"/>
      <c r="D23" s="122"/>
      <c r="E23" s="122"/>
      <c r="F23" s="122"/>
    </row>
    <row r="24" spans="2:6" x14ac:dyDescent="0.25">
      <c r="D24" s="79" t="s">
        <v>236</v>
      </c>
      <c r="E24" s="235"/>
      <c r="F24" s="79"/>
    </row>
    <row r="25" spans="2:6" x14ac:dyDescent="0.25">
      <c r="C25" s="198">
        <f>E21</f>
        <v>9.5311639642438967E-2</v>
      </c>
      <c r="D25" s="236">
        <f>E25-0.1</f>
        <v>1.2799999999999998</v>
      </c>
      <c r="E25" s="237">
        <v>1.38</v>
      </c>
      <c r="F25" s="238">
        <f>E25+0.1</f>
        <v>1.48</v>
      </c>
    </row>
    <row r="26" spans="2:6" x14ac:dyDescent="0.25">
      <c r="C26" s="239">
        <f>C27-0.005</f>
        <v>3.1700000000000006E-2</v>
      </c>
      <c r="D26" s="240">
        <v>6.1013495196213796E-2</v>
      </c>
      <c r="E26" s="49">
        <v>6.590882572582199E-2</v>
      </c>
      <c r="F26" s="49">
        <v>7.080415625543017E-2</v>
      </c>
    </row>
    <row r="27" spans="2:6" x14ac:dyDescent="0.25">
      <c r="B27" s="81" t="s">
        <v>237</v>
      </c>
      <c r="C27" s="239">
        <f>C28-0.005</f>
        <v>3.6700000000000003E-2</v>
      </c>
      <c r="D27" s="49">
        <v>6.6447312084078877E-2</v>
      </c>
      <c r="E27" s="49">
        <v>7.1886568228087977E-2</v>
      </c>
      <c r="F27" s="49">
        <v>7.7325824372097077E-2</v>
      </c>
    </row>
    <row r="28" spans="2:6" x14ac:dyDescent="0.25">
      <c r="B28" s="81" t="s">
        <v>238</v>
      </c>
      <c r="C28" s="241">
        <v>4.1700000000000001E-2</v>
      </c>
      <c r="D28" s="49">
        <v>7.1881128971943958E-2</v>
      </c>
      <c r="E28" s="49">
        <v>7.7864310730353978E-2</v>
      </c>
      <c r="F28" s="49">
        <v>8.3847492488763983E-2</v>
      </c>
    </row>
    <row r="29" spans="2:6" x14ac:dyDescent="0.25">
      <c r="B29" s="81" t="s">
        <v>239</v>
      </c>
      <c r="C29" s="239">
        <f>C28+0.005</f>
        <v>4.6699999999999998E-2</v>
      </c>
      <c r="D29" s="49">
        <v>7.7314945859809053E-2</v>
      </c>
      <c r="E29" s="49">
        <v>8.3842053232619965E-2</v>
      </c>
      <c r="F29" s="49">
        <v>9.0369160605430876E-2</v>
      </c>
    </row>
    <row r="30" spans="2:6" x14ac:dyDescent="0.25">
      <c r="C30" s="239">
        <f>C29+0.005</f>
        <v>5.1699999999999996E-2</v>
      </c>
      <c r="D30" s="49">
        <v>8.2748762747674148E-2</v>
      </c>
      <c r="E30" s="49">
        <v>8.9819795734885952E-2</v>
      </c>
      <c r="F30" s="49">
        <v>9.6890828722097783E-2</v>
      </c>
    </row>
    <row r="31" spans="2:6" x14ac:dyDescent="0.25">
      <c r="C31" s="242"/>
      <c r="D31" s="49"/>
      <c r="E31" s="49"/>
      <c r="F31" s="49"/>
    </row>
    <row r="32" spans="2:6" x14ac:dyDescent="0.25">
      <c r="B32" t="s">
        <v>240</v>
      </c>
      <c r="C32" s="243" t="s">
        <v>241</v>
      </c>
    </row>
    <row r="34" spans="2:9" x14ac:dyDescent="0.25">
      <c r="B34" s="26" t="s">
        <v>241</v>
      </c>
      <c r="C34" s="59">
        <v>1.38</v>
      </c>
      <c r="D34" t="s">
        <v>224</v>
      </c>
    </row>
    <row r="35" spans="2:9" x14ac:dyDescent="0.25">
      <c r="B35" s="26" t="s">
        <v>242</v>
      </c>
      <c r="C35" s="66">
        <f>C46</f>
        <v>1.0430125182914844</v>
      </c>
      <c r="D35" t="s">
        <v>243</v>
      </c>
    </row>
    <row r="37" spans="2:9" x14ac:dyDescent="0.25">
      <c r="B37" s="133" t="s">
        <v>242</v>
      </c>
      <c r="C37" s="133"/>
      <c r="D37" s="122"/>
      <c r="E37" s="122"/>
      <c r="F37" s="122"/>
      <c r="G37" s="122"/>
      <c r="H37" s="122"/>
      <c r="I37" s="122"/>
    </row>
    <row r="38" spans="2:9" x14ac:dyDescent="0.25">
      <c r="H38" s="244"/>
    </row>
    <row r="39" spans="2:9" ht="15.75" thickBot="1" x14ac:dyDescent="0.3">
      <c r="C39" s="245" t="s">
        <v>244</v>
      </c>
      <c r="D39" s="245" t="s">
        <v>245</v>
      </c>
      <c r="E39" s="245" t="s">
        <v>246</v>
      </c>
      <c r="F39" s="245" t="s">
        <v>247</v>
      </c>
      <c r="G39" s="246" t="s">
        <v>248</v>
      </c>
      <c r="H39" s="245" t="s">
        <v>21</v>
      </c>
      <c r="I39" s="245" t="s">
        <v>249</v>
      </c>
    </row>
    <row r="40" spans="2:9" x14ac:dyDescent="0.25">
      <c r="B40" s="247" t="s">
        <v>250</v>
      </c>
      <c r="C40" s="59">
        <v>1.08</v>
      </c>
      <c r="D40" s="248">
        <v>401.32</v>
      </c>
      <c r="E40" s="58">
        <v>7425.6</v>
      </c>
      <c r="F40" s="144">
        <f>D40*E40</f>
        <v>2980041.7919999999</v>
      </c>
      <c r="G40" s="58">
        <f>40262-89462</f>
        <v>-49200</v>
      </c>
      <c r="H40" s="147">
        <v>0.17630000000000001</v>
      </c>
      <c r="I40" s="66">
        <f>C40/(1+(1-H40)*(G40)/F40)</f>
        <v>1.0948895691986753</v>
      </c>
    </row>
    <row r="41" spans="2:9" x14ac:dyDescent="0.25">
      <c r="B41" s="247" t="s">
        <v>251</v>
      </c>
      <c r="C41" s="59">
        <v>1.0900000000000001</v>
      </c>
      <c r="D41" s="248">
        <v>305.72000000000003</v>
      </c>
      <c r="E41" s="58">
        <v>12390</v>
      </c>
      <c r="F41" s="144">
        <f>D41*E41</f>
        <v>3787870.8000000003</v>
      </c>
      <c r="G41" s="58">
        <f>23602-98496</f>
        <v>-74894</v>
      </c>
      <c r="H41" s="147">
        <v>0.1678</v>
      </c>
      <c r="I41" s="66">
        <f t="shared" ref="I41:I43" si="0">C41/(1+(1-H41)*(G41)/F41)</f>
        <v>1.1082352422549016</v>
      </c>
    </row>
    <row r="42" spans="2:9" x14ac:dyDescent="0.25">
      <c r="B42" s="247" t="s">
        <v>257</v>
      </c>
      <c r="C42" s="59">
        <v>0.67</v>
      </c>
      <c r="D42" s="248">
        <v>133.88999999999999</v>
      </c>
      <c r="E42" s="58">
        <v>7991.1</v>
      </c>
      <c r="F42" s="144">
        <f>D42*E42</f>
        <v>1069928.379</v>
      </c>
      <c r="G42" s="58">
        <f>53433-10582</f>
        <v>42851</v>
      </c>
      <c r="H42" s="147">
        <v>0.23599999999999999</v>
      </c>
      <c r="I42" s="66">
        <f t="shared" si="0"/>
        <v>0.65010770344013247</v>
      </c>
    </row>
    <row r="43" spans="2:9" x14ac:dyDescent="0.25">
      <c r="B43" s="247" t="s">
        <v>252</v>
      </c>
      <c r="C43" s="225">
        <f>C34</f>
        <v>1.38</v>
      </c>
      <c r="D43" s="249"/>
      <c r="E43" s="60"/>
      <c r="F43" s="34">
        <f>C18</f>
        <v>2178225.6947472999</v>
      </c>
      <c r="G43" s="34">
        <f>C19</f>
        <v>-57381</v>
      </c>
      <c r="H43" s="250">
        <f>C7</f>
        <v>0.186</v>
      </c>
      <c r="I43" s="66">
        <f t="shared" si="0"/>
        <v>1.4102400628111182</v>
      </c>
    </row>
    <row r="44" spans="2:9" x14ac:dyDescent="0.25">
      <c r="C44" s="66"/>
      <c r="F44" s="144"/>
      <c r="G44" s="144"/>
      <c r="H44" s="144"/>
      <c r="I44" s="161"/>
    </row>
    <row r="45" spans="2:9" x14ac:dyDescent="0.25">
      <c r="B45" t="s">
        <v>253</v>
      </c>
      <c r="C45" s="66">
        <f>AVERAGE(I40:I43)</f>
        <v>1.065868144426207</v>
      </c>
    </row>
    <row r="46" spans="2:9" x14ac:dyDescent="0.25">
      <c r="B46" s="1" t="str">
        <f>B43&amp;" beta"</f>
        <v>Amazon (AMZN) beta</v>
      </c>
      <c r="C46" s="251">
        <f>C45*(1+(1-H43)*(G43)/F43)</f>
        <v>1.0430125182914844</v>
      </c>
    </row>
    <row r="47" spans="2:9" x14ac:dyDescent="0.25">
      <c r="C47" s="113"/>
    </row>
  </sheetData>
  <dataValidations disablePrompts="1" count="1">
    <dataValidation type="list" allowBlank="1" showInputMessage="1" showErrorMessage="1" sqref="C32" xr:uid="{E5B31CAF-85CC-40D2-9049-6E688F5E18E1}">
      <formula1>"Industry, Observed"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53DD-2AAF-439A-AEFF-AFF959817C85}">
  <sheetPr>
    <tabColor theme="5" tint="0.39997558519241921"/>
  </sheetPr>
  <dimension ref="B1:S203"/>
  <sheetViews>
    <sheetView zoomScaleNormal="100" workbookViewId="0"/>
  </sheetViews>
  <sheetFormatPr defaultColWidth="8.85546875" defaultRowHeight="15" x14ac:dyDescent="0.25"/>
  <cols>
    <col min="1" max="1" width="1.42578125" customWidth="1"/>
    <col min="2" max="2" width="46.7109375" bestFit="1" customWidth="1"/>
    <col min="3" max="3" width="13.28515625" bestFit="1" customWidth="1"/>
    <col min="4" max="10" width="11.42578125" customWidth="1"/>
    <col min="11" max="11" width="1.7109375" customWidth="1"/>
    <col min="12" max="12" width="11.42578125" customWidth="1"/>
    <col min="13" max="13" width="11.85546875" customWidth="1"/>
    <col min="14" max="16" width="10.28515625" bestFit="1" customWidth="1"/>
    <col min="17" max="18" width="9.42578125" bestFit="1" customWidth="1"/>
  </cols>
  <sheetData>
    <row r="1" spans="2:10" ht="15.75" thickBot="1" x14ac:dyDescent="0.3"/>
    <row r="2" spans="2:10" ht="15.75" thickBot="1" x14ac:dyDescent="0.3">
      <c r="B2" s="3" t="str">
        <f>"Financial Statement Model for "&amp;C5</f>
        <v>Financial Statement Model for Amazon</v>
      </c>
      <c r="C2" s="4"/>
      <c r="D2" s="4"/>
      <c r="E2" s="4"/>
      <c r="F2" s="4"/>
      <c r="G2" s="4"/>
      <c r="H2" s="4"/>
      <c r="I2" s="4"/>
      <c r="J2" s="4"/>
    </row>
    <row r="3" spans="2:10" x14ac:dyDescent="0.25">
      <c r="B3" s="5" t="s">
        <v>261</v>
      </c>
      <c r="C3" s="125"/>
      <c r="D3" s="125"/>
      <c r="E3" s="125"/>
      <c r="F3" s="125"/>
      <c r="G3" s="125"/>
    </row>
    <row r="5" spans="2:10" x14ac:dyDescent="0.25">
      <c r="B5" s="126" t="s">
        <v>93</v>
      </c>
      <c r="C5" s="127" t="s">
        <v>94</v>
      </c>
    </row>
    <row r="6" spans="2:10" x14ac:dyDescent="0.25">
      <c r="B6" s="126" t="s">
        <v>95</v>
      </c>
      <c r="C6" s="127" t="s">
        <v>96</v>
      </c>
      <c r="E6" s="58"/>
      <c r="F6" s="58"/>
      <c r="G6" s="58"/>
    </row>
    <row r="7" spans="2:10" x14ac:dyDescent="0.25">
      <c r="B7" t="s">
        <v>97</v>
      </c>
      <c r="C7" s="128">
        <v>1</v>
      </c>
    </row>
    <row r="8" spans="2:10" x14ac:dyDescent="0.25">
      <c r="B8" t="s">
        <v>98</v>
      </c>
      <c r="C8" s="129">
        <v>198.79</v>
      </c>
    </row>
    <row r="9" spans="2:10" x14ac:dyDescent="0.25">
      <c r="B9" t="s">
        <v>99</v>
      </c>
      <c r="C9" s="130">
        <v>46066</v>
      </c>
    </row>
    <row r="10" spans="2:10" x14ac:dyDescent="0.25">
      <c r="B10" s="126" t="s">
        <v>100</v>
      </c>
      <c r="C10" s="131">
        <v>46022</v>
      </c>
    </row>
    <row r="11" spans="2:10" ht="15" customHeight="1" x14ac:dyDescent="0.25">
      <c r="B11" t="s">
        <v>101</v>
      </c>
      <c r="C11" s="132">
        <v>10734.92087</v>
      </c>
    </row>
    <row r="12" spans="2:10" x14ac:dyDescent="0.25">
      <c r="B12" t="s">
        <v>102</v>
      </c>
      <c r="C12" s="128" t="s">
        <v>103</v>
      </c>
    </row>
    <row r="13" spans="2:10" x14ac:dyDescent="0.25">
      <c r="B13" s="1"/>
      <c r="C13" s="1"/>
    </row>
    <row r="14" spans="2:10" x14ac:dyDescent="0.25">
      <c r="B14" s="133" t="s">
        <v>104</v>
      </c>
      <c r="C14" s="122"/>
      <c r="D14" s="122"/>
      <c r="E14" s="122"/>
      <c r="F14" s="122"/>
      <c r="G14" s="122"/>
      <c r="H14" s="122"/>
      <c r="I14" s="122"/>
      <c r="J14" s="122"/>
    </row>
    <row r="15" spans="2:10" x14ac:dyDescent="0.25">
      <c r="B15" t="s">
        <v>105</v>
      </c>
      <c r="C15" s="134">
        <f>D15-1</f>
        <v>2023</v>
      </c>
      <c r="D15" s="134">
        <f>E15-1</f>
        <v>2024</v>
      </c>
      <c r="E15" s="134">
        <f>YEAR(C10)</f>
        <v>2025</v>
      </c>
      <c r="F15" s="135">
        <f>E15+1</f>
        <v>2026</v>
      </c>
      <c r="G15" s="135">
        <f>F15+1</f>
        <v>2027</v>
      </c>
      <c r="H15" s="135">
        <f>G15+1</f>
        <v>2028</v>
      </c>
      <c r="I15" s="135">
        <f>H15+1</f>
        <v>2029</v>
      </c>
      <c r="J15" s="135">
        <f>I15+1</f>
        <v>2030</v>
      </c>
    </row>
    <row r="16" spans="2:10" x14ac:dyDescent="0.25">
      <c r="B16" s="136" t="s">
        <v>106</v>
      </c>
      <c r="C16" s="137">
        <f>EOMONTH(D16,-12)</f>
        <v>45291</v>
      </c>
      <c r="D16" s="137">
        <f>EOMONTH(E16,-12)</f>
        <v>45657</v>
      </c>
      <c r="E16" s="137">
        <f>C10</f>
        <v>46022</v>
      </c>
      <c r="F16" s="137">
        <f>EOMONTH(E16,12)</f>
        <v>46387</v>
      </c>
      <c r="G16" s="137">
        <f>EOMONTH(F16,12)</f>
        <v>46752</v>
      </c>
      <c r="H16" s="137">
        <f>EOMONTH(G16,12)</f>
        <v>47118</v>
      </c>
      <c r="I16" s="137">
        <f>EOMONTH(H16,12)</f>
        <v>47483</v>
      </c>
      <c r="J16" s="137">
        <f>EOMONTH(I16,12)</f>
        <v>47848</v>
      </c>
    </row>
    <row r="17" spans="2:13" x14ac:dyDescent="0.25">
      <c r="B17" s="2"/>
      <c r="C17" s="138"/>
      <c r="D17" s="139"/>
      <c r="E17" s="139"/>
      <c r="F17" s="140"/>
      <c r="G17" s="141"/>
      <c r="H17" s="141"/>
      <c r="I17" s="139"/>
      <c r="J17" s="139"/>
    </row>
    <row r="18" spans="2:13" ht="15" customHeight="1" x14ac:dyDescent="0.25">
      <c r="B18" t="s">
        <v>107</v>
      </c>
      <c r="C18" s="58">
        <f>255887+318898</f>
        <v>574785</v>
      </c>
      <c r="D18" s="58">
        <f>272311+365648</f>
        <v>637959</v>
      </c>
      <c r="E18" s="58">
        <f>296266+420658</f>
        <v>716924</v>
      </c>
      <c r="F18" s="34">
        <f ca="1">E18*(1+F39)</f>
        <v>805056.42799816001</v>
      </c>
      <c r="G18" s="34">
        <f ca="1">F18*(1+G39)</f>
        <v>895555.17988476728</v>
      </c>
      <c r="H18" s="34">
        <f ca="1">G18*(1+H39)</f>
        <v>1009191.8184382734</v>
      </c>
      <c r="I18" s="34">
        <f ca="1">H18*(1+I39)</f>
        <v>1137247.7646031785</v>
      </c>
      <c r="J18" s="34">
        <f ca="1">I18*(1+J39)</f>
        <v>1281552.6785545698</v>
      </c>
    </row>
    <row r="19" spans="2:13" x14ac:dyDescent="0.25">
      <c r="B19" t="s">
        <v>108</v>
      </c>
      <c r="C19" s="58">
        <f>-304739-90619</f>
        <v>-395358</v>
      </c>
      <c r="D19" s="58">
        <f>-326288-98505</f>
        <v>-424793</v>
      </c>
      <c r="E19" s="58">
        <f>-356414-109074</f>
        <v>-465488</v>
      </c>
      <c r="F19" s="34">
        <f ca="1">F20-F18</f>
        <v>-522481.62177080585</v>
      </c>
      <c r="G19" s="34">
        <f ca="1">G20-G18</f>
        <v>-573155.31512625108</v>
      </c>
      <c r="H19" s="34">
        <f ca="1">H20-H18</f>
        <v>-635790.84561611223</v>
      </c>
      <c r="I19" s="34">
        <f ca="1">I20-I18</f>
        <v>-716466.09170000243</v>
      </c>
      <c r="J19" s="34">
        <f ca="1">J20-J18</f>
        <v>-807378.18748937896</v>
      </c>
    </row>
    <row r="20" spans="2:13" x14ac:dyDescent="0.25">
      <c r="B20" s="1" t="s">
        <v>109</v>
      </c>
      <c r="C20" s="142">
        <f>SUM(C18:C19)</f>
        <v>179427</v>
      </c>
      <c r="D20" s="142">
        <f>SUM(D18:D19)</f>
        <v>213166</v>
      </c>
      <c r="E20" s="142">
        <f>SUM(E18:E19)</f>
        <v>251436</v>
      </c>
      <c r="F20" s="142">
        <f ca="1">F18*F40</f>
        <v>282574.80622735416</v>
      </c>
      <c r="G20" s="142">
        <f t="shared" ref="G20:J20" ca="1" si="0">G18*G40</f>
        <v>322399.8647585162</v>
      </c>
      <c r="H20" s="142">
        <f t="shared" ca="1" si="0"/>
        <v>373400.97282216116</v>
      </c>
      <c r="I20" s="142">
        <f t="shared" ca="1" si="0"/>
        <v>420781.67290317605</v>
      </c>
      <c r="J20" s="142">
        <f t="shared" ca="1" si="0"/>
        <v>474174.49106519081</v>
      </c>
      <c r="L20" s="143"/>
    </row>
    <row r="21" spans="2:13" x14ac:dyDescent="0.25">
      <c r="B21" t="s">
        <v>110</v>
      </c>
      <c r="C21" s="58">
        <f>-44370-11816</f>
        <v>-56186</v>
      </c>
      <c r="D21" s="58">
        <f>-43907-11359</f>
        <v>-55266</v>
      </c>
      <c r="E21" s="58">
        <f>-47129-11172</f>
        <v>-58301</v>
      </c>
      <c r="F21" s="34">
        <f ca="1">-F18*F42</f>
        <v>-61140.999847967803</v>
      </c>
      <c r="G21" s="34">
        <f ca="1">-G18*G42</f>
        <v>-66852.999991397897</v>
      </c>
      <c r="H21" s="34">
        <f ca="1">-H18*H42</f>
        <v>-66852.999896544832</v>
      </c>
      <c r="I21" s="34">
        <f ca="1">-I18*I42</f>
        <v>-75335.95031221745</v>
      </c>
      <c r="J21" s="34">
        <f ca="1">-J18*J42</f>
        <v>-84895.298912954589</v>
      </c>
      <c r="L21" s="143"/>
    </row>
    <row r="22" spans="2:13" x14ac:dyDescent="0.25">
      <c r="B22" t="s">
        <v>111</v>
      </c>
      <c r="C22" s="58">
        <v>-85622</v>
      </c>
      <c r="D22" s="58">
        <v>-88544</v>
      </c>
      <c r="E22" s="58">
        <v>-108521</v>
      </c>
      <c r="F22" s="34">
        <f ca="1">F18*F41*-1</f>
        <v>-120758.464199724</v>
      </c>
      <c r="G22" s="34">
        <f t="shared" ref="G22:J22" ca="1" si="1">G18*G41*-1</f>
        <v>-138811.05288213893</v>
      </c>
      <c r="H22" s="34">
        <f t="shared" ca="1" si="1"/>
        <v>-158443.11549480891</v>
      </c>
      <c r="I22" s="34">
        <f t="shared" ca="1" si="1"/>
        <v>-178547.89904269902</v>
      </c>
      <c r="J22" s="34">
        <f t="shared" ca="1" si="1"/>
        <v>-201203.77053306747</v>
      </c>
      <c r="L22" s="143"/>
    </row>
    <row r="23" spans="2:13" x14ac:dyDescent="0.25">
      <c r="B23" t="s">
        <v>112</v>
      </c>
      <c r="C23" s="58">
        <v>-767</v>
      </c>
      <c r="D23" s="58">
        <v>-763</v>
      </c>
      <c r="E23" s="58">
        <v>-4639</v>
      </c>
      <c r="F23" s="144">
        <f>$D$23</f>
        <v>-763</v>
      </c>
      <c r="G23" s="144">
        <f t="shared" ref="G23:J23" si="2">$D$23</f>
        <v>-763</v>
      </c>
      <c r="H23" s="144">
        <f t="shared" si="2"/>
        <v>-763</v>
      </c>
      <c r="I23" s="144">
        <f t="shared" si="2"/>
        <v>-763</v>
      </c>
      <c r="J23" s="144">
        <f t="shared" si="2"/>
        <v>-763</v>
      </c>
    </row>
    <row r="24" spans="2:13" x14ac:dyDescent="0.25">
      <c r="B24" s="1" t="s">
        <v>113</v>
      </c>
      <c r="C24" s="142">
        <f>SUM(C20:C23)</f>
        <v>36852</v>
      </c>
      <c r="D24" s="142">
        <f t="shared" ref="D24:J24" si="3">SUM(D20:D23)</f>
        <v>68593</v>
      </c>
      <c r="E24" s="142">
        <f t="shared" si="3"/>
        <v>79975</v>
      </c>
      <c r="F24" s="142">
        <f t="shared" ca="1" si="3"/>
        <v>99912.342179662344</v>
      </c>
      <c r="G24" s="142">
        <f t="shared" ca="1" si="3"/>
        <v>115972.81188497937</v>
      </c>
      <c r="H24" s="142">
        <f t="shared" ca="1" si="3"/>
        <v>147341.8574308074</v>
      </c>
      <c r="I24" s="142">
        <f t="shared" ca="1" si="3"/>
        <v>166134.82354825956</v>
      </c>
      <c r="J24" s="142">
        <f t="shared" ca="1" si="3"/>
        <v>187312.42161916877</v>
      </c>
      <c r="L24" s="1"/>
    </row>
    <row r="25" spans="2:13" x14ac:dyDescent="0.25">
      <c r="B25" t="s">
        <v>114</v>
      </c>
      <c r="C25" s="58">
        <v>2949</v>
      </c>
      <c r="D25" s="58">
        <v>4677</v>
      </c>
      <c r="E25" s="58">
        <v>4381</v>
      </c>
      <c r="F25" s="144">
        <f ca="1">F138</f>
        <v>3512.4978350330844</v>
      </c>
      <c r="G25" s="144">
        <f t="shared" ref="G25:J25" ca="1" si="4">G138</f>
        <v>3399.5168323577755</v>
      </c>
      <c r="H25" s="144">
        <f t="shared" ca="1" si="4"/>
        <v>3823.6780458298358</v>
      </c>
      <c r="I25" s="144">
        <f t="shared" ca="1" si="4"/>
        <v>4665.8362501462043</v>
      </c>
      <c r="J25" s="144">
        <f t="shared" ca="1" si="4"/>
        <v>5755.9661263274547</v>
      </c>
    </row>
    <row r="26" spans="2:13" x14ac:dyDescent="0.25">
      <c r="B26" t="s">
        <v>115</v>
      </c>
      <c r="C26" s="58">
        <v>-3182</v>
      </c>
      <c r="D26" s="58">
        <v>-2406</v>
      </c>
      <c r="E26" s="58">
        <v>-2274</v>
      </c>
      <c r="F26" s="144">
        <f>F134</f>
        <v>-2524.4320585773353</v>
      </c>
      <c r="G26" s="144">
        <f t="shared" ref="G26:J26" si="5">G134</f>
        <v>-2524.4320585773353</v>
      </c>
      <c r="H26" s="144">
        <f t="shared" si="5"/>
        <v>-2524.4320585773353</v>
      </c>
      <c r="I26" s="144">
        <f t="shared" si="5"/>
        <v>-2524.4320585773353</v>
      </c>
      <c r="J26" s="144">
        <f t="shared" si="5"/>
        <v>-2524.4320585773353</v>
      </c>
    </row>
    <row r="27" spans="2:13" x14ac:dyDescent="0.25">
      <c r="B27" t="s">
        <v>116</v>
      </c>
      <c r="C27" s="58">
        <v>938</v>
      </c>
      <c r="D27" s="58">
        <v>-2250</v>
      </c>
      <c r="E27" s="58">
        <v>15229</v>
      </c>
      <c r="F27" s="144">
        <f>E27</f>
        <v>15229</v>
      </c>
      <c r="G27" s="144">
        <f>F27</f>
        <v>15229</v>
      </c>
      <c r="H27" s="144">
        <f>G27</f>
        <v>15229</v>
      </c>
      <c r="I27" s="144">
        <f>H27</f>
        <v>15229</v>
      </c>
      <c r="J27" s="144">
        <f>I27</f>
        <v>15229</v>
      </c>
    </row>
    <row r="28" spans="2:13" x14ac:dyDescent="0.25">
      <c r="B28" s="1" t="s">
        <v>117</v>
      </c>
      <c r="C28" s="142">
        <f t="shared" ref="C28:J28" si="6">SUM(C24:C27)</f>
        <v>37557</v>
      </c>
      <c r="D28" s="142">
        <f t="shared" si="6"/>
        <v>68614</v>
      </c>
      <c r="E28" s="142">
        <f t="shared" si="6"/>
        <v>97311</v>
      </c>
      <c r="F28" s="142">
        <f t="shared" ca="1" si="6"/>
        <v>116129.40795611808</v>
      </c>
      <c r="G28" s="142">
        <f t="shared" ca="1" si="6"/>
        <v>132076.8966587598</v>
      </c>
      <c r="H28" s="142">
        <f t="shared" ca="1" si="6"/>
        <v>163870.10341805991</v>
      </c>
      <c r="I28" s="142">
        <f t="shared" ca="1" si="6"/>
        <v>183505.22773982844</v>
      </c>
      <c r="J28" s="142">
        <f t="shared" ca="1" si="6"/>
        <v>205772.9556869189</v>
      </c>
      <c r="L28" s="1"/>
      <c r="M28" s="1"/>
    </row>
    <row r="29" spans="2:13" x14ac:dyDescent="0.25">
      <c r="B29" t="s">
        <v>118</v>
      </c>
      <c r="C29" s="58">
        <v>-7120</v>
      </c>
      <c r="D29" s="58">
        <v>-9265</v>
      </c>
      <c r="E29" s="58">
        <v>-19087</v>
      </c>
      <c r="F29" s="34">
        <f ca="1">-F43*F28</f>
        <v>-21530.392235064293</v>
      </c>
      <c r="G29" s="34">
        <f ca="1">-G43*G28</f>
        <v>-24764.418123517462</v>
      </c>
      <c r="H29" s="34">
        <f ca="1">-H43*H28</f>
        <v>-30479.839235759144</v>
      </c>
      <c r="I29" s="34">
        <f ca="1">-I43*I28</f>
        <v>-34131.972359608088</v>
      </c>
      <c r="J29" s="34">
        <f ca="1">-J43*J28</f>
        <v>-38273.769757766917</v>
      </c>
    </row>
    <row r="30" spans="2:13" x14ac:dyDescent="0.25">
      <c r="B30" t="s">
        <v>119</v>
      </c>
      <c r="C30" s="58">
        <v>-12</v>
      </c>
      <c r="D30" s="58">
        <v>-101</v>
      </c>
      <c r="E30" s="58">
        <v>-554</v>
      </c>
      <c r="F30" s="34"/>
      <c r="G30" s="34"/>
      <c r="H30" s="34"/>
      <c r="I30" s="34"/>
      <c r="J30" s="34"/>
    </row>
    <row r="31" spans="2:13" x14ac:dyDescent="0.25">
      <c r="B31" s="1" t="s">
        <v>120</v>
      </c>
      <c r="C31" s="142">
        <f>SUM(C28:C30)</f>
        <v>30425</v>
      </c>
      <c r="D31" s="142">
        <f>SUM(D28:D30)</f>
        <v>59248</v>
      </c>
      <c r="E31" s="142">
        <f>SUM(E28:E30)</f>
        <v>77670</v>
      </c>
      <c r="F31" s="142">
        <f t="shared" ref="F31:J31" ca="1" si="7">SUM(F28:F30)</f>
        <v>94599.015721053787</v>
      </c>
      <c r="G31" s="142">
        <f t="shared" ca="1" si="7"/>
        <v>107312.47853524234</v>
      </c>
      <c r="H31" s="142">
        <f t="shared" ca="1" si="7"/>
        <v>133390.26418230077</v>
      </c>
      <c r="I31" s="142">
        <f t="shared" ca="1" si="7"/>
        <v>149373.25538022036</v>
      </c>
      <c r="J31" s="142">
        <f t="shared" ca="1" si="7"/>
        <v>167499.18592915198</v>
      </c>
      <c r="L31" s="1"/>
    </row>
    <row r="32" spans="2:13" x14ac:dyDescent="0.25">
      <c r="B32" s="26"/>
      <c r="C32" s="144"/>
      <c r="D32" s="144"/>
      <c r="E32" s="144"/>
      <c r="F32" s="144"/>
      <c r="G32" s="144"/>
      <c r="H32" s="144"/>
      <c r="I32" s="144"/>
      <c r="J32" s="144"/>
    </row>
    <row r="33" spans="2:19" x14ac:dyDescent="0.25">
      <c r="B33" s="52" t="s">
        <v>22</v>
      </c>
      <c r="C33" s="58">
        <v>48663</v>
      </c>
      <c r="D33" s="58">
        <v>52795</v>
      </c>
      <c r="E33" s="58">
        <v>65756</v>
      </c>
      <c r="F33" s="144">
        <f ca="1">F109</f>
        <v>86990.258017268876</v>
      </c>
      <c r="G33" s="144">
        <f ca="1">G109</f>
        <v>94008.777083406385</v>
      </c>
      <c r="H33" s="144">
        <f ca="1">H109</f>
        <v>107411.24738941563</v>
      </c>
      <c r="I33" s="144">
        <f ca="1">I109</f>
        <v>125444.2652907657</v>
      </c>
      <c r="J33" s="144">
        <f ca="1">J109</f>
        <v>146324.26271365149</v>
      </c>
    </row>
    <row r="34" spans="2:19" x14ac:dyDescent="0.25">
      <c r="B34" s="62" t="s">
        <v>17</v>
      </c>
      <c r="C34" s="142">
        <f t="shared" ref="C34:J34" si="8">C24+C33</f>
        <v>85515</v>
      </c>
      <c r="D34" s="142">
        <f t="shared" si="8"/>
        <v>121388</v>
      </c>
      <c r="E34" s="142">
        <f t="shared" si="8"/>
        <v>145731</v>
      </c>
      <c r="F34" s="142">
        <f t="shared" ca="1" si="8"/>
        <v>186902.60019693122</v>
      </c>
      <c r="G34" s="142">
        <f t="shared" ca="1" si="8"/>
        <v>209981.58896838577</v>
      </c>
      <c r="H34" s="142">
        <f t="shared" ca="1" si="8"/>
        <v>254753.10482022303</v>
      </c>
      <c r="I34" s="142">
        <f t="shared" ca="1" si="8"/>
        <v>291579.08883902524</v>
      </c>
      <c r="J34" s="142">
        <f t="shared" ca="1" si="8"/>
        <v>333636.68433282024</v>
      </c>
      <c r="L34" s="1"/>
    </row>
    <row r="35" spans="2:19" x14ac:dyDescent="0.25">
      <c r="B35" s="52" t="s">
        <v>121</v>
      </c>
      <c r="C35" s="58">
        <v>24023</v>
      </c>
      <c r="D35" s="58">
        <v>22011</v>
      </c>
      <c r="E35" s="58">
        <v>19467</v>
      </c>
      <c r="F35" s="144">
        <f ca="1">E35*(1+F39)</f>
        <v>21860.104395779999</v>
      </c>
      <c r="G35" s="144">
        <f ca="1">F35*(1+G39)</f>
        <v>24317.462781015511</v>
      </c>
      <c r="H35" s="144">
        <f ca="1">G35*(1+H39)</f>
        <v>27403.095906313454</v>
      </c>
      <c r="I35" s="144">
        <f ca="1">H35*(1+I39)</f>
        <v>30880.263784627205</v>
      </c>
      <c r="J35" s="144">
        <f ca="1">I35*(1+J39)</f>
        <v>34798.648104153035</v>
      </c>
    </row>
    <row r="36" spans="2:19" x14ac:dyDescent="0.25">
      <c r="B36" s="62" t="s">
        <v>122</v>
      </c>
      <c r="C36" s="142">
        <f t="shared" ref="C36:J36" si="9">SUM(C34:C35)</f>
        <v>109538</v>
      </c>
      <c r="D36" s="142">
        <f t="shared" si="9"/>
        <v>143399</v>
      </c>
      <c r="E36" s="142">
        <f>SUM(E34:E35)</f>
        <v>165198</v>
      </c>
      <c r="F36" s="142">
        <f t="shared" ca="1" si="9"/>
        <v>208762.70459271123</v>
      </c>
      <c r="G36" s="142">
        <f t="shared" ca="1" si="9"/>
        <v>234299.05174940129</v>
      </c>
      <c r="H36" s="142">
        <f t="shared" ca="1" si="9"/>
        <v>282156.20072653651</v>
      </c>
      <c r="I36" s="142">
        <f t="shared" ca="1" si="9"/>
        <v>322459.35262365243</v>
      </c>
      <c r="J36" s="142">
        <f t="shared" ca="1" si="9"/>
        <v>368435.33243697329</v>
      </c>
      <c r="L36" s="1"/>
    </row>
    <row r="37" spans="2:19" x14ac:dyDescent="0.25">
      <c r="B37" s="26"/>
      <c r="F37" s="145"/>
    </row>
    <row r="38" spans="2:19" x14ac:dyDescent="0.25">
      <c r="B38" s="53" t="s">
        <v>123</v>
      </c>
    </row>
    <row r="39" spans="2:19" x14ac:dyDescent="0.25">
      <c r="B39" s="26" t="s">
        <v>124</v>
      </c>
      <c r="C39" s="146"/>
      <c r="D39" s="146">
        <f>D18/C18-1</f>
        <v>0.1099089224666614</v>
      </c>
      <c r="E39" s="146">
        <f>E18/D18-1</f>
        <v>0.12377754683294695</v>
      </c>
      <c r="F39" s="146">
        <f t="shared" ref="F39:J40" ca="1" si="10">F156</f>
        <v>0.12293134</v>
      </c>
      <c r="G39" s="146">
        <f t="shared" ca="1" si="10"/>
        <v>0.11241292999999999</v>
      </c>
      <c r="H39" s="146">
        <f t="shared" ca="1" si="10"/>
        <v>0.12688959999999999</v>
      </c>
      <c r="I39" s="146">
        <f t="shared" ca="1" si="10"/>
        <v>0.12688959999999999</v>
      </c>
      <c r="J39" s="146">
        <f t="shared" ca="1" si="10"/>
        <v>0.12688959999999999</v>
      </c>
      <c r="N39" s="147"/>
      <c r="O39" s="147"/>
      <c r="P39" s="147"/>
      <c r="Q39" s="147"/>
      <c r="R39" s="147"/>
      <c r="S39" s="147"/>
    </row>
    <row r="40" spans="2:19" x14ac:dyDescent="0.25">
      <c r="B40" s="26" t="s">
        <v>125</v>
      </c>
      <c r="C40" s="146">
        <f>C20/C18</f>
        <v>0.31216367859286515</v>
      </c>
      <c r="D40" s="146">
        <f>D20/D18</f>
        <v>0.33413746024431035</v>
      </c>
      <c r="E40" s="146">
        <f>E20/E18</f>
        <v>0.35071499907940035</v>
      </c>
      <c r="F40" s="146">
        <f t="shared" ca="1" si="10"/>
        <v>0.35099999999999998</v>
      </c>
      <c r="G40" s="146">
        <f t="shared" ca="1" si="10"/>
        <v>0.36</v>
      </c>
      <c r="H40" s="146">
        <f t="shared" ca="1" si="10"/>
        <v>0.37</v>
      </c>
      <c r="I40" s="146">
        <f t="shared" ca="1" si="10"/>
        <v>0.37</v>
      </c>
      <c r="J40" s="146">
        <f t="shared" ca="1" si="10"/>
        <v>0.37</v>
      </c>
      <c r="N40" s="147"/>
      <c r="O40" s="147"/>
      <c r="P40" s="147"/>
      <c r="Q40" s="147"/>
      <c r="R40" s="147"/>
      <c r="S40" s="147"/>
    </row>
    <row r="41" spans="2:19" x14ac:dyDescent="0.25">
      <c r="B41" s="26" t="s">
        <v>126</v>
      </c>
      <c r="C41" s="146">
        <f>C22/C18*-1</f>
        <v>0.14896352549214054</v>
      </c>
      <c r="D41" s="146">
        <f t="shared" ref="D41:E41" si="11">D22/D18*-1</f>
        <v>0.13879261833440706</v>
      </c>
      <c r="E41" s="146">
        <f t="shared" si="11"/>
        <v>0.15137029866485149</v>
      </c>
      <c r="F41" s="146">
        <f>F171</f>
        <v>0.15</v>
      </c>
      <c r="G41" s="146">
        <f t="shared" ref="G41:J41" si="12">G171</f>
        <v>0.155</v>
      </c>
      <c r="H41" s="146">
        <f t="shared" si="12"/>
        <v>0.157</v>
      </c>
      <c r="I41" s="146">
        <f t="shared" si="12"/>
        <v>0.157</v>
      </c>
      <c r="J41" s="146">
        <f t="shared" si="12"/>
        <v>0.157</v>
      </c>
      <c r="N41" s="147"/>
      <c r="O41" s="147"/>
      <c r="P41" s="147"/>
      <c r="Q41" s="147"/>
      <c r="R41" s="147"/>
      <c r="S41" s="147"/>
    </row>
    <row r="42" spans="2:19" x14ac:dyDescent="0.25">
      <c r="B42" s="26" t="s">
        <v>127</v>
      </c>
      <c r="C42" s="146">
        <f>C21/C18*-1</f>
        <v>9.7751333107161803E-2</v>
      </c>
      <c r="D42" s="146">
        <f>D21/D18*-1</f>
        <v>8.6629391543970688E-2</v>
      </c>
      <c r="E42" s="146">
        <f>E21/E18*-1</f>
        <v>8.132103263386356E-2</v>
      </c>
      <c r="F42" s="146">
        <f ca="1">F159</f>
        <v>7.5946229011548919E-2</v>
      </c>
      <c r="G42" s="146">
        <f ca="1">G159</f>
        <v>7.4649783165789962E-2</v>
      </c>
      <c r="H42" s="146">
        <f ca="1">H159</f>
        <v>6.6244096191742818E-2</v>
      </c>
      <c r="I42" s="146">
        <f ca="1">I159</f>
        <v>6.6244096191742818E-2</v>
      </c>
      <c r="J42" s="146">
        <f ca="1">J159</f>
        <v>6.6244096191742818E-2</v>
      </c>
      <c r="N42" s="147"/>
      <c r="O42" s="147"/>
      <c r="P42" s="147"/>
      <c r="Q42" s="147"/>
      <c r="R42" s="147"/>
      <c r="S42" s="147"/>
    </row>
    <row r="43" spans="2:19" x14ac:dyDescent="0.25">
      <c r="B43" s="26" t="s">
        <v>21</v>
      </c>
      <c r="C43" s="146">
        <f>-C29/C28</f>
        <v>0.18957850733551668</v>
      </c>
      <c r="D43" s="146">
        <f t="shared" ref="D43:E43" si="13">-D29/D28</f>
        <v>0.13503075174162707</v>
      </c>
      <c r="E43" s="146">
        <f t="shared" si="13"/>
        <v>0.19614432078593375</v>
      </c>
      <c r="F43" s="147">
        <v>0.18540000000000001</v>
      </c>
      <c r="G43" s="147">
        <v>0.1875</v>
      </c>
      <c r="H43" s="147">
        <v>0.186</v>
      </c>
      <c r="I43" s="146">
        <f>H43</f>
        <v>0.186</v>
      </c>
      <c r="J43" s="146">
        <f>I43</f>
        <v>0.186</v>
      </c>
      <c r="N43" s="147"/>
      <c r="O43" s="147"/>
      <c r="P43" s="147"/>
      <c r="Q43" s="147"/>
      <c r="R43" s="147"/>
      <c r="S43" s="147"/>
    </row>
    <row r="44" spans="2:19" x14ac:dyDescent="0.25">
      <c r="B44" s="26"/>
      <c r="F44" s="145"/>
    </row>
    <row r="45" spans="2:19" x14ac:dyDescent="0.25">
      <c r="B45" s="133" t="s">
        <v>128</v>
      </c>
      <c r="C45" s="148"/>
      <c r="D45" s="148"/>
      <c r="E45" s="148"/>
      <c r="F45" s="122"/>
      <c r="G45" s="122"/>
      <c r="H45" s="122"/>
      <c r="I45" s="122"/>
      <c r="J45" s="122"/>
    </row>
    <row r="46" spans="2:19" x14ac:dyDescent="0.25">
      <c r="B46" s="149" t="str">
        <f>B15</f>
        <v xml:space="preserve">Fiscal year  </v>
      </c>
      <c r="C46" s="150"/>
      <c r="D46" s="150">
        <f t="shared" ref="D46:J47" si="14">D15</f>
        <v>2024</v>
      </c>
      <c r="E46" s="150">
        <f t="shared" si="14"/>
        <v>2025</v>
      </c>
      <c r="F46" s="151">
        <f t="shared" si="14"/>
        <v>2026</v>
      </c>
      <c r="G46" s="151">
        <f t="shared" si="14"/>
        <v>2027</v>
      </c>
      <c r="H46" s="151">
        <f t="shared" si="14"/>
        <v>2028</v>
      </c>
      <c r="I46" s="151">
        <f t="shared" si="14"/>
        <v>2029</v>
      </c>
      <c r="J46" s="151">
        <f t="shared" si="14"/>
        <v>2030</v>
      </c>
    </row>
    <row r="47" spans="2:19" x14ac:dyDescent="0.25">
      <c r="B47" s="122" t="str">
        <f>B16</f>
        <v>Fiscal year end date</v>
      </c>
      <c r="C47" s="152"/>
      <c r="D47" s="152">
        <f t="shared" si="14"/>
        <v>45657</v>
      </c>
      <c r="E47" s="152">
        <f t="shared" si="14"/>
        <v>46022</v>
      </c>
      <c r="F47" s="152">
        <f t="shared" si="14"/>
        <v>46387</v>
      </c>
      <c r="G47" s="152">
        <f t="shared" si="14"/>
        <v>46752</v>
      </c>
      <c r="H47" s="152">
        <f t="shared" si="14"/>
        <v>47118</v>
      </c>
      <c r="I47" s="152">
        <f t="shared" si="14"/>
        <v>47483</v>
      </c>
      <c r="J47" s="152">
        <f t="shared" si="14"/>
        <v>47848</v>
      </c>
    </row>
    <row r="48" spans="2:19" x14ac:dyDescent="0.25">
      <c r="B48" t="s">
        <v>129</v>
      </c>
      <c r="C48" s="58"/>
      <c r="D48" s="58">
        <f>78779+22423</f>
        <v>101202</v>
      </c>
      <c r="E48" s="58">
        <f>86810+36219</f>
        <v>123029</v>
      </c>
      <c r="F48" s="144">
        <f ca="1">F93+E48</f>
        <v>111137.52233553896</v>
      </c>
      <c r="G48" s="144">
        <f ca="1">G93+F48</f>
        <v>115496.9331549794</v>
      </c>
      <c r="H48" s="144">
        <f ca="1">H93+G48</f>
        <v>139414.93656700966</v>
      </c>
      <c r="I48" s="144">
        <f ca="1">I93+H48</f>
        <v>171640.81344273736</v>
      </c>
      <c r="J48" s="144">
        <f ca="1">J93+I48</f>
        <v>212090.26164575969</v>
      </c>
    </row>
    <row r="49" spans="2:10" x14ac:dyDescent="0.25">
      <c r="B49" t="s">
        <v>130</v>
      </c>
      <c r="C49" s="58"/>
      <c r="D49" s="58">
        <v>55451</v>
      </c>
      <c r="E49" s="58">
        <v>67729</v>
      </c>
      <c r="F49" s="144">
        <f ca="1">E49*(1+F39)</f>
        <v>76055.016726860005</v>
      </c>
      <c r="G49" s="144">
        <f ca="1">F49*(1+G39)</f>
        <v>84604.583998325354</v>
      </c>
      <c r="H49" s="144">
        <f ca="1">G49*(1+H39)</f>
        <v>95340.025820039256</v>
      </c>
      <c r="I49" s="144">
        <f ca="1">H49*(1+I39)</f>
        <v>107437.68356033371</v>
      </c>
      <c r="J49" s="144">
        <f ca="1">I49*(1+J39)</f>
        <v>121070.40825223102</v>
      </c>
    </row>
    <row r="50" spans="2:10" x14ac:dyDescent="0.25">
      <c r="B50" t="s">
        <v>131</v>
      </c>
      <c r="C50" s="58"/>
      <c r="D50" s="58">
        <v>34214</v>
      </c>
      <c r="E50" s="58">
        <v>38325</v>
      </c>
      <c r="F50" s="144">
        <f ca="1">E50*F19/E19</f>
        <v>43017.452983462805</v>
      </c>
      <c r="G50" s="144">
        <f ca="1">F50*G19/F19</f>
        <v>47189.567619817426</v>
      </c>
      <c r="H50" s="144">
        <f ca="1">G50*H19/G19</f>
        <v>52346.535588967927</v>
      </c>
      <c r="I50" s="144">
        <f ca="1">H50*I19/H19</f>
        <v>58988.76655123783</v>
      </c>
      <c r="J50" s="144">
        <f ca="1">I50*J19/I19</f>
        <v>66473.827543417778</v>
      </c>
    </row>
    <row r="51" spans="2:10" x14ac:dyDescent="0.25">
      <c r="B51" t="s">
        <v>132</v>
      </c>
      <c r="C51" s="58"/>
      <c r="D51" s="58">
        <v>252665</v>
      </c>
      <c r="E51" s="58">
        <v>357025</v>
      </c>
      <c r="F51" s="144">
        <f>F102</f>
        <v>475008.41202977113</v>
      </c>
      <c r="G51" s="144">
        <f>G102</f>
        <v>590223.80563593714</v>
      </c>
      <c r="H51" s="144">
        <f>H102</f>
        <v>711783.40417917748</v>
      </c>
      <c r="I51" s="144">
        <f ca="1">I102</f>
        <v>844364.00387312414</v>
      </c>
      <c r="J51" s="144">
        <f ca="1">J102</f>
        <v>988805.27805214899</v>
      </c>
    </row>
    <row r="52" spans="2:10" x14ac:dyDescent="0.25">
      <c r="B52" t="s">
        <v>133</v>
      </c>
      <c r="C52" s="58"/>
      <c r="D52" s="58">
        <f>76141+23074+82147</f>
        <v>181362</v>
      </c>
      <c r="E52" s="58">
        <f>86054+23273+122607</f>
        <v>231934</v>
      </c>
      <c r="F52" s="144">
        <f ca="1">E52*(1+F39)</f>
        <v>260445.95741156003</v>
      </c>
      <c r="G52" s="144">
        <f ca="1">F52*(1+G39)</f>
        <v>289723.45059084875</v>
      </c>
      <c r="H52" s="144">
        <f ca="1">G52*(1+H39)</f>
        <v>326486.34334694128</v>
      </c>
      <c r="I52" s="144">
        <f ca="1">H52*(1+I39)</f>
        <v>367914.0648596973</v>
      </c>
      <c r="J52" s="144">
        <f ca="1">I52*(1+J39)</f>
        <v>414598.53338411835</v>
      </c>
    </row>
    <row r="53" spans="2:10" x14ac:dyDescent="0.25">
      <c r="B53" s="62" t="s">
        <v>134</v>
      </c>
      <c r="C53" s="142"/>
      <c r="D53" s="142">
        <f t="shared" ref="D53:J53" si="15">SUM(D48:D52)</f>
        <v>624894</v>
      </c>
      <c r="E53" s="142">
        <f t="shared" si="15"/>
        <v>818042</v>
      </c>
      <c r="F53" s="69">
        <f t="shared" ca="1" si="15"/>
        <v>965664.36148719292</v>
      </c>
      <c r="G53" s="69">
        <f t="shared" ca="1" si="15"/>
        <v>1127238.340999908</v>
      </c>
      <c r="H53" s="69">
        <f t="shared" ca="1" si="15"/>
        <v>1325371.2455021357</v>
      </c>
      <c r="I53" s="69">
        <f t="shared" ca="1" si="15"/>
        <v>1550345.3322871304</v>
      </c>
      <c r="J53" s="69">
        <f t="shared" ca="1" si="15"/>
        <v>1803038.3088776758</v>
      </c>
    </row>
    <row r="54" spans="2:10" x14ac:dyDescent="0.25">
      <c r="B54" s="52"/>
      <c r="C54" s="144"/>
      <c r="D54" s="144"/>
      <c r="E54" s="144"/>
      <c r="F54" s="144"/>
      <c r="G54" s="144"/>
      <c r="H54" s="144"/>
      <c r="I54" s="144"/>
      <c r="J54" s="144"/>
    </row>
    <row r="55" spans="2:10" x14ac:dyDescent="0.25">
      <c r="B55" s="52" t="s">
        <v>135</v>
      </c>
      <c r="C55" s="58"/>
      <c r="D55" s="58">
        <v>94363</v>
      </c>
      <c r="E55" s="58">
        <v>121909</v>
      </c>
      <c r="F55" s="144">
        <f ca="1">E55*F19/E19</f>
        <v>136835.34705181909</v>
      </c>
      <c r="G55" s="144">
        <f ca="1">F55*G19/F19</f>
        <v>150106.53617649892</v>
      </c>
      <c r="H55" s="144">
        <f ca="1">G55*H19/G19</f>
        <v>166510.47115761225</v>
      </c>
      <c r="I55" s="144">
        <f ca="1">H55*I19/H19</f>
        <v>187638.9182386132</v>
      </c>
      <c r="J55" s="144">
        <f ca="1">I55*J19/I19</f>
        <v>211448.3455183435</v>
      </c>
    </row>
    <row r="56" spans="2:10" x14ac:dyDescent="0.25">
      <c r="B56" s="52" t="s">
        <v>136</v>
      </c>
      <c r="C56" s="58"/>
      <c r="D56" s="58">
        <v>66965</v>
      </c>
      <c r="E56" s="58">
        <v>75520</v>
      </c>
      <c r="F56" s="144">
        <f ca="1">E56*(1+F39)</f>
        <v>84803.774796800004</v>
      </c>
      <c r="G56" s="144">
        <f ca="1">F56*(1+G39)</f>
        <v>94336.815596768458</v>
      </c>
      <c r="H56" s="144">
        <f ca="1">G56*(1+H39)</f>
        <v>106307.17639311617</v>
      </c>
      <c r="I56" s="144">
        <f ca="1">H56*(1+I39)</f>
        <v>119796.45148276811</v>
      </c>
      <c r="J56" s="144">
        <f ca="1">I56*(1+J39)</f>
        <v>134997.37529283596</v>
      </c>
    </row>
    <row r="57" spans="2:10" x14ac:dyDescent="0.25">
      <c r="B57" s="52" t="s">
        <v>137</v>
      </c>
      <c r="C57" s="58"/>
      <c r="D57" s="58">
        <v>18103</v>
      </c>
      <c r="E57" s="58">
        <v>20576</v>
      </c>
      <c r="F57" s="144">
        <f ca="1">E57*(1+F39)</f>
        <v>23105.435251840001</v>
      </c>
      <c r="G57" s="144">
        <f ca="1">F57*(1+G39)</f>
        <v>25702.784927424625</v>
      </c>
      <c r="H57" s="144">
        <f ca="1">G57*(1+H39)</f>
        <v>28964.201025751565</v>
      </c>
      <c r="I57" s="144">
        <f ca="1">H57*(1+I39)</f>
        <v>32639.456908228767</v>
      </c>
      <c r="J57" s="144">
        <f ca="1">I57*(1+J39)</f>
        <v>36781.064539531151</v>
      </c>
    </row>
    <row r="58" spans="2:10" x14ac:dyDescent="0.25">
      <c r="B58" s="52" t="s">
        <v>138</v>
      </c>
      <c r="C58" s="58"/>
      <c r="D58" s="58">
        <v>78277</v>
      </c>
      <c r="E58" s="58">
        <v>87339</v>
      </c>
      <c r="F58" s="144">
        <f>E58</f>
        <v>87339</v>
      </c>
      <c r="G58" s="144">
        <f t="shared" ref="G58:J59" si="16">F58</f>
        <v>87339</v>
      </c>
      <c r="H58" s="144">
        <f t="shared" si="16"/>
        <v>87339</v>
      </c>
      <c r="I58" s="144">
        <f t="shared" si="16"/>
        <v>87339</v>
      </c>
      <c r="J58" s="144">
        <f t="shared" si="16"/>
        <v>87339</v>
      </c>
    </row>
    <row r="59" spans="2:10" x14ac:dyDescent="0.25">
      <c r="B59" s="52" t="s">
        <v>139</v>
      </c>
      <c r="C59" s="58"/>
      <c r="D59" s="58">
        <v>52623</v>
      </c>
      <c r="E59" s="58">
        <v>65648</v>
      </c>
      <c r="F59" s="144">
        <f>E59</f>
        <v>65648</v>
      </c>
      <c r="G59" s="144">
        <f t="shared" si="16"/>
        <v>65648</v>
      </c>
      <c r="H59" s="144">
        <f t="shared" si="16"/>
        <v>65648</v>
      </c>
      <c r="I59" s="144">
        <f t="shared" si="16"/>
        <v>65648</v>
      </c>
      <c r="J59" s="144">
        <f t="shared" si="16"/>
        <v>65648</v>
      </c>
    </row>
    <row r="60" spans="2:10" ht="15.75" customHeight="1" x14ac:dyDescent="0.25">
      <c r="B60" s="52" t="s">
        <v>140</v>
      </c>
      <c r="C60" s="58"/>
      <c r="D60" s="58">
        <v>28593</v>
      </c>
      <c r="E60" s="58">
        <v>35985</v>
      </c>
      <c r="F60" s="144">
        <f ca="1">E60*(1+F39)</f>
        <v>40408.684269900004</v>
      </c>
      <c r="G60" s="144">
        <f ca="1">F60*(1+G39)</f>
        <v>44951.142866124377</v>
      </c>
      <c r="H60" s="144">
        <f ca="1">G60*(1+H39)</f>
        <v>50654.975403949749</v>
      </c>
      <c r="I60" s="144">
        <f ca="1">H60*(1+I39)</f>
        <v>57082.56497096677</v>
      </c>
      <c r="J60" s="144">
        <f ca="1">I60*(1+J39)</f>
        <v>64325.748807106749</v>
      </c>
    </row>
    <row r="61" spans="2:10" x14ac:dyDescent="0.25">
      <c r="B61" s="62" t="s">
        <v>141</v>
      </c>
      <c r="C61" s="142"/>
      <c r="D61" s="142">
        <f t="shared" ref="D61:J61" si="17">SUM(D55:D60)</f>
        <v>338924</v>
      </c>
      <c r="E61" s="142">
        <f t="shared" si="17"/>
        <v>406977</v>
      </c>
      <c r="F61" s="69">
        <f t="shared" ca="1" si="17"/>
        <v>438140.24137035914</v>
      </c>
      <c r="G61" s="69">
        <f t="shared" ca="1" si="17"/>
        <v>468084.2795668164</v>
      </c>
      <c r="H61" s="69">
        <f t="shared" ca="1" si="17"/>
        <v>505423.82398042968</v>
      </c>
      <c r="I61" s="69">
        <f t="shared" ca="1" si="17"/>
        <v>550144.39160057681</v>
      </c>
      <c r="J61" s="69">
        <f t="shared" ca="1" si="17"/>
        <v>600539.53415781737</v>
      </c>
    </row>
    <row r="62" spans="2:10" x14ac:dyDescent="0.25">
      <c r="B62" s="62"/>
      <c r="C62" s="142"/>
      <c r="D62" s="142"/>
      <c r="E62" s="142"/>
      <c r="F62" s="144"/>
      <c r="G62" s="144"/>
      <c r="H62" s="144"/>
      <c r="I62" s="144"/>
      <c r="J62" s="144"/>
    </row>
    <row r="63" spans="2:10" x14ac:dyDescent="0.25">
      <c r="B63" s="52" t="s">
        <v>142</v>
      </c>
      <c r="C63" s="58"/>
      <c r="D63" s="58">
        <v>111</v>
      </c>
      <c r="E63" s="58">
        <v>112</v>
      </c>
      <c r="F63" s="144">
        <f>E63</f>
        <v>112</v>
      </c>
      <c r="G63" s="144">
        <f t="shared" ref="G63:J64" si="18">F63</f>
        <v>112</v>
      </c>
      <c r="H63" s="144">
        <f t="shared" si="18"/>
        <v>112</v>
      </c>
      <c r="I63" s="144">
        <f t="shared" si="18"/>
        <v>112</v>
      </c>
      <c r="J63" s="144">
        <f t="shared" si="18"/>
        <v>112</v>
      </c>
    </row>
    <row r="64" spans="2:10" x14ac:dyDescent="0.25">
      <c r="B64" s="52" t="s">
        <v>143</v>
      </c>
      <c r="C64" s="58"/>
      <c r="D64" s="58">
        <v>-7837</v>
      </c>
      <c r="E64" s="58">
        <v>-7837</v>
      </c>
      <c r="F64" s="144">
        <f>E64</f>
        <v>-7837</v>
      </c>
      <c r="G64" s="144">
        <f t="shared" si="18"/>
        <v>-7837</v>
      </c>
      <c r="H64" s="144">
        <f t="shared" si="18"/>
        <v>-7837</v>
      </c>
      <c r="I64" s="144">
        <f t="shared" si="18"/>
        <v>-7837</v>
      </c>
      <c r="J64" s="144">
        <f t="shared" si="18"/>
        <v>-7837</v>
      </c>
    </row>
    <row r="65" spans="2:12" x14ac:dyDescent="0.25">
      <c r="B65" s="52" t="s">
        <v>144</v>
      </c>
      <c r="C65" s="58"/>
      <c r="D65" s="58">
        <v>120864</v>
      </c>
      <c r="E65" s="58">
        <v>140024</v>
      </c>
      <c r="F65" s="144">
        <f ca="1">E65++F35</f>
        <v>161884.10439578001</v>
      </c>
      <c r="G65" s="144">
        <f t="shared" ref="G65:J65" ca="1" si="19">F65++G35</f>
        <v>186201.56717679554</v>
      </c>
      <c r="H65" s="144">
        <f t="shared" ca="1" si="19"/>
        <v>213604.66308310899</v>
      </c>
      <c r="I65" s="144">
        <f t="shared" ca="1" si="19"/>
        <v>244484.92686773618</v>
      </c>
      <c r="J65" s="144">
        <f t="shared" ca="1" si="19"/>
        <v>279283.5749718892</v>
      </c>
    </row>
    <row r="66" spans="2:12" ht="15.75" customHeight="1" x14ac:dyDescent="0.25">
      <c r="B66" s="52" t="s">
        <v>145</v>
      </c>
      <c r="C66" s="34"/>
      <c r="D66" s="58">
        <v>172866</v>
      </c>
      <c r="E66" s="58">
        <v>250536</v>
      </c>
      <c r="F66" s="144">
        <f ca="1">F122</f>
        <v>345135.01572105382</v>
      </c>
      <c r="G66" s="144">
        <f ca="1">G122</f>
        <v>452447.49425629614</v>
      </c>
      <c r="H66" s="144">
        <f ca="1">H122</f>
        <v>585837.75843859697</v>
      </c>
      <c r="I66" s="144">
        <f ca="1">I122</f>
        <v>735211.01381881733</v>
      </c>
      <c r="J66" s="144">
        <f ca="1">J122</f>
        <v>902710.19974796928</v>
      </c>
    </row>
    <row r="67" spans="2:12" ht="15.75" customHeight="1" x14ac:dyDescent="0.25">
      <c r="B67" s="52" t="s">
        <v>146</v>
      </c>
      <c r="C67" s="58"/>
      <c r="D67" s="58">
        <v>-34</v>
      </c>
      <c r="E67" s="58">
        <v>28230</v>
      </c>
      <c r="F67" s="144">
        <f>E67</f>
        <v>28230</v>
      </c>
      <c r="G67" s="144">
        <f>F67</f>
        <v>28230</v>
      </c>
      <c r="H67" s="144">
        <f>G67</f>
        <v>28230</v>
      </c>
      <c r="I67" s="144">
        <f>H67</f>
        <v>28230</v>
      </c>
      <c r="J67" s="144">
        <f>I67</f>
        <v>28230</v>
      </c>
    </row>
    <row r="68" spans="2:12" x14ac:dyDescent="0.25">
      <c r="B68" s="62" t="s">
        <v>147</v>
      </c>
      <c r="C68" s="69"/>
      <c r="D68" s="69">
        <f t="shared" ref="D68:J68" si="20">SUM(D63:D67)</f>
        <v>285970</v>
      </c>
      <c r="E68" s="69">
        <f t="shared" si="20"/>
        <v>411065</v>
      </c>
      <c r="F68" s="69">
        <f t="shared" ca="1" si="20"/>
        <v>527524.12011683383</v>
      </c>
      <c r="G68" s="69">
        <f t="shared" ca="1" si="20"/>
        <v>659154.06143309164</v>
      </c>
      <c r="H68" s="69">
        <f t="shared" ca="1" si="20"/>
        <v>819947.42152170592</v>
      </c>
      <c r="I68" s="69">
        <f t="shared" ca="1" si="20"/>
        <v>1000200.9406865535</v>
      </c>
      <c r="J68" s="69">
        <f t="shared" ca="1" si="20"/>
        <v>1202498.7747198585</v>
      </c>
    </row>
    <row r="69" spans="2:12" x14ac:dyDescent="0.25">
      <c r="C69" s="144"/>
      <c r="D69" s="144"/>
      <c r="E69" s="144"/>
    </row>
    <row r="70" spans="2:12" x14ac:dyDescent="0.25">
      <c r="B70" s="2" t="s">
        <v>148</v>
      </c>
      <c r="C70" s="153"/>
      <c r="D70" s="153">
        <f t="shared" ref="D70:J70" si="21">ROUND(D53-D61-D68,3)</f>
        <v>0</v>
      </c>
      <c r="E70" s="153">
        <f t="shared" si="21"/>
        <v>0</v>
      </c>
      <c r="F70" s="153">
        <f t="shared" ca="1" si="21"/>
        <v>0</v>
      </c>
      <c r="G70" s="153">
        <f t="shared" ca="1" si="21"/>
        <v>0</v>
      </c>
      <c r="H70" s="153">
        <f t="shared" ca="1" si="21"/>
        <v>0</v>
      </c>
      <c r="I70" s="153">
        <f t="shared" ca="1" si="21"/>
        <v>0</v>
      </c>
      <c r="J70" s="153">
        <f t="shared" ca="1" si="21"/>
        <v>0</v>
      </c>
    </row>
    <row r="71" spans="2:12" x14ac:dyDescent="0.25">
      <c r="D71" s="144"/>
      <c r="E71" s="144"/>
      <c r="G71" s="144"/>
      <c r="H71" s="144"/>
      <c r="I71" s="144"/>
      <c r="J71" s="144"/>
    </row>
    <row r="72" spans="2:12" x14ac:dyDescent="0.25">
      <c r="B72" s="133" t="s">
        <v>149</v>
      </c>
      <c r="C72" s="148"/>
      <c r="D72" s="148"/>
      <c r="E72" s="148"/>
      <c r="F72" s="148"/>
      <c r="G72" s="148"/>
      <c r="H72" s="148"/>
      <c r="I72" s="148"/>
      <c r="J72" s="148"/>
    </row>
    <row r="73" spans="2:12" x14ac:dyDescent="0.25">
      <c r="B73" s="149" t="str">
        <f>B15</f>
        <v xml:space="preserve">Fiscal year  </v>
      </c>
      <c r="C73" s="150"/>
      <c r="D73" s="150"/>
      <c r="E73" s="150"/>
      <c r="F73" s="151">
        <f t="shared" ref="F73:J74" si="22">F15</f>
        <v>2026</v>
      </c>
      <c r="G73" s="151">
        <f t="shared" si="22"/>
        <v>2027</v>
      </c>
      <c r="H73" s="151">
        <f t="shared" si="22"/>
        <v>2028</v>
      </c>
      <c r="I73" s="151">
        <f t="shared" si="22"/>
        <v>2029</v>
      </c>
      <c r="J73" s="151">
        <f t="shared" si="22"/>
        <v>2030</v>
      </c>
    </row>
    <row r="74" spans="2:12" x14ac:dyDescent="0.25">
      <c r="B74" s="122" t="str">
        <f>B16</f>
        <v>Fiscal year end date</v>
      </c>
      <c r="C74" s="152"/>
      <c r="D74" s="152"/>
      <c r="E74" s="152"/>
      <c r="F74" s="152">
        <f t="shared" si="22"/>
        <v>46387</v>
      </c>
      <c r="G74" s="152">
        <f t="shared" si="22"/>
        <v>46752</v>
      </c>
      <c r="H74" s="152">
        <f t="shared" si="22"/>
        <v>47118</v>
      </c>
      <c r="I74" s="152">
        <f t="shared" si="22"/>
        <v>47483</v>
      </c>
      <c r="J74" s="152">
        <f t="shared" si="22"/>
        <v>47848</v>
      </c>
    </row>
    <row r="76" spans="2:12" x14ac:dyDescent="0.25">
      <c r="B76" t="s">
        <v>120</v>
      </c>
      <c r="C76" s="154"/>
      <c r="D76" s="154"/>
      <c r="E76" s="154"/>
      <c r="F76" s="144">
        <f ca="1">F31</f>
        <v>94599.015721053787</v>
      </c>
      <c r="G76" s="144">
        <f ca="1">G31</f>
        <v>107312.47853524234</v>
      </c>
      <c r="H76" s="144">
        <f ca="1">H31</f>
        <v>133390.26418230077</v>
      </c>
      <c r="I76" s="144">
        <f ca="1">I31</f>
        <v>149373.25538022036</v>
      </c>
      <c r="J76" s="144">
        <f ca="1">J31</f>
        <v>167499.18592915198</v>
      </c>
      <c r="L76" s="1"/>
    </row>
    <row r="77" spans="2:12" x14ac:dyDescent="0.25">
      <c r="B77" t="s">
        <v>150</v>
      </c>
      <c r="C77" s="154"/>
      <c r="D77" s="154"/>
      <c r="E77" s="154"/>
      <c r="F77" s="144">
        <f ca="1">F33</f>
        <v>86990.258017268876</v>
      </c>
      <c r="G77" s="144">
        <f ca="1">G33</f>
        <v>94008.777083406385</v>
      </c>
      <c r="H77" s="144">
        <f ca="1">H33</f>
        <v>107411.24738941563</v>
      </c>
      <c r="I77" s="144">
        <f ca="1">I33</f>
        <v>125444.2652907657</v>
      </c>
      <c r="J77" s="144">
        <f ca="1">J33</f>
        <v>146324.26271365149</v>
      </c>
    </row>
    <row r="78" spans="2:12" x14ac:dyDescent="0.25">
      <c r="B78" t="s">
        <v>121</v>
      </c>
      <c r="C78" s="154"/>
      <c r="D78" s="154"/>
      <c r="E78" s="154"/>
      <c r="F78" s="144">
        <f ca="1">F35</f>
        <v>21860.104395779999</v>
      </c>
      <c r="G78" s="144">
        <f ca="1">G35</f>
        <v>24317.462781015511</v>
      </c>
      <c r="H78" s="144">
        <f ca="1">H35</f>
        <v>27403.095906313454</v>
      </c>
      <c r="I78" s="144">
        <f ca="1">I35</f>
        <v>30880.263784627205</v>
      </c>
      <c r="J78" s="144">
        <f ca="1">J35</f>
        <v>34798.648104153035</v>
      </c>
    </row>
    <row r="79" spans="2:12" x14ac:dyDescent="0.25">
      <c r="B79" t="s">
        <v>151</v>
      </c>
      <c r="C79" s="144"/>
      <c r="D79" s="144"/>
      <c r="E79" s="144"/>
      <c r="F79" s="144">
        <f ca="1">-1*(SUM(F49:F50)-SUM(E49:E50))</f>
        <v>-13018.46971032281</v>
      </c>
      <c r="G79" s="144">
        <f ca="1">-1*(SUM(G49:G50)-SUM(F49:F50))</f>
        <v>-12721.681907819977</v>
      </c>
      <c r="H79" s="144">
        <f ca="1">-1*(SUM(H49:H50)-SUM(G49:G50))</f>
        <v>-15892.409790864389</v>
      </c>
      <c r="I79" s="144">
        <f ca="1">-1*(SUM(I49:I50)-SUM(H49:H50))</f>
        <v>-18739.888702564349</v>
      </c>
      <c r="J79" s="144">
        <f ca="1">-1*(SUM(J49:J50)-SUM(I49:I50))</f>
        <v>-21117.785684077273</v>
      </c>
    </row>
    <row r="80" spans="2:12" x14ac:dyDescent="0.25">
      <c r="B80" t="s">
        <v>152</v>
      </c>
      <c r="C80" s="144"/>
      <c r="D80" s="144"/>
      <c r="E80" s="144"/>
      <c r="F80" s="144">
        <f ca="1">SUM(F55:F57)-SUM(E55:E57)</f>
        <v>26739.557100459089</v>
      </c>
      <c r="G80" s="144">
        <f ca="1">SUM(G55:G57)-SUM(F55:F57)</f>
        <v>25401.579600232915</v>
      </c>
      <c r="H80" s="144">
        <f ca="1">SUM(H55:H57)-SUM(G55:G57)</f>
        <v>31635.711875787936</v>
      </c>
      <c r="I80" s="144">
        <f ca="1">SUM(I55:I57)-SUM(H55:H57)</f>
        <v>38292.978053130151</v>
      </c>
      <c r="J80" s="144">
        <f ca="1">SUM(J55:J57)-SUM(I55:I57)</f>
        <v>43151.958721100527</v>
      </c>
    </row>
    <row r="81" spans="2:12" x14ac:dyDescent="0.25">
      <c r="B81" t="s">
        <v>133</v>
      </c>
      <c r="F81" s="144">
        <f ca="1">-(F114)</f>
        <v>-55300.607458600018</v>
      </c>
      <c r="G81" s="144">
        <f ca="1">-(G114)</f>
        <v>-59077.533868861123</v>
      </c>
      <c r="H81" s="144">
        <f ca="1">-(H114)</f>
        <v>-70344.248688748514</v>
      </c>
      <c r="I81" s="144">
        <f ca="1">-(I114)</f>
        <v>-79270.202267164364</v>
      </c>
      <c r="J81" s="144">
        <f ca="1">-(J114)</f>
        <v>-89328.766524763894</v>
      </c>
    </row>
    <row r="82" spans="2:12" x14ac:dyDescent="0.25">
      <c r="B82" t="s">
        <v>140</v>
      </c>
      <c r="F82" s="144">
        <f ca="1">F60-E60</f>
        <v>4423.6842699000044</v>
      </c>
      <c r="G82" s="144">
        <f ca="1">G60-F60</f>
        <v>4542.4585962243727</v>
      </c>
      <c r="H82" s="144">
        <f ca="1">H60-G60</f>
        <v>5703.8325378253721</v>
      </c>
      <c r="I82" s="144">
        <f ca="1">I60-H60</f>
        <v>6427.5895670170212</v>
      </c>
      <c r="J82" s="144">
        <f ca="1">J60-I60</f>
        <v>7243.1838361399787</v>
      </c>
      <c r="L82" s="1"/>
    </row>
    <row r="83" spans="2:12" x14ac:dyDescent="0.25">
      <c r="B83" s="1" t="s">
        <v>153</v>
      </c>
      <c r="F83" s="69">
        <f ca="1">SUM(F76:F82)</f>
        <v>166293.54233553895</v>
      </c>
      <c r="G83" s="69">
        <f ca="1">SUM(G76:G82)</f>
        <v>183783.54081944044</v>
      </c>
      <c r="H83" s="69">
        <f ca="1">SUM(H76:H82)</f>
        <v>219307.49341203025</v>
      </c>
      <c r="I83" s="69">
        <f ca="1">SUM(I76:I82)</f>
        <v>252408.26110603168</v>
      </c>
      <c r="J83" s="69">
        <f ca="1">SUM(J76:J82)</f>
        <v>288570.68709535588</v>
      </c>
    </row>
    <row r="84" spans="2:12" x14ac:dyDescent="0.25">
      <c r="F84" s="144"/>
      <c r="G84" s="144"/>
      <c r="H84" s="144"/>
      <c r="I84" s="144"/>
      <c r="J84" s="144"/>
    </row>
    <row r="85" spans="2:12" x14ac:dyDescent="0.25">
      <c r="B85" t="s">
        <v>24</v>
      </c>
      <c r="F85" s="144">
        <f>-(F100)</f>
        <v>-178185.02</v>
      </c>
      <c r="G85" s="144">
        <f>-(G100)</f>
        <v>-179424.13</v>
      </c>
      <c r="H85" s="144">
        <f>-(H100)</f>
        <v>-195389.49</v>
      </c>
      <c r="I85" s="144">
        <f ca="1">-(I100)</f>
        <v>-220182.38423030399</v>
      </c>
      <c r="J85" s="144">
        <f ca="1">-(J100)</f>
        <v>-248121.23889233355</v>
      </c>
    </row>
    <row r="86" spans="2:12" x14ac:dyDescent="0.25">
      <c r="B86" s="1" t="s">
        <v>154</v>
      </c>
      <c r="F86" s="69">
        <f>IFERROR(F85,"NA")</f>
        <v>-178185.02</v>
      </c>
      <c r="G86" s="69">
        <f>IFERROR(G85,"NA")</f>
        <v>-179424.13</v>
      </c>
      <c r="H86" s="69">
        <f>IFERROR(H85,"NA")</f>
        <v>-195389.49</v>
      </c>
      <c r="I86" s="69">
        <f ca="1">IFERROR(I85,"NA")</f>
        <v>-220182.38423030399</v>
      </c>
      <c r="J86" s="69">
        <f ca="1">IFERROR(J85,"NA")</f>
        <v>-248121.23889233355</v>
      </c>
    </row>
    <row r="87" spans="2:12" x14ac:dyDescent="0.25">
      <c r="F87" s="144"/>
      <c r="G87" s="144"/>
      <c r="H87" s="144"/>
      <c r="I87" s="144"/>
      <c r="J87" s="144"/>
    </row>
    <row r="88" spans="2:12" x14ac:dyDescent="0.25">
      <c r="B88" t="s">
        <v>155</v>
      </c>
      <c r="F88" s="144">
        <f>F59-E59</f>
        <v>0</v>
      </c>
      <c r="G88" s="144">
        <f>G59-F59</f>
        <v>0</v>
      </c>
      <c r="H88" s="144">
        <f>H59-G59</f>
        <v>0</v>
      </c>
      <c r="I88" s="144">
        <f>I59-H59</f>
        <v>0</v>
      </c>
      <c r="J88" s="144">
        <f>J59-I59</f>
        <v>0</v>
      </c>
    </row>
    <row r="89" spans="2:12" x14ac:dyDescent="0.25">
      <c r="B89" t="s">
        <v>156</v>
      </c>
      <c r="F89" s="144">
        <f>F121</f>
        <v>0</v>
      </c>
      <c r="G89" s="144">
        <f>G121</f>
        <v>0</v>
      </c>
      <c r="H89" s="144">
        <f>H121</f>
        <v>0</v>
      </c>
      <c r="I89" s="144">
        <f>I121</f>
        <v>0</v>
      </c>
      <c r="J89" s="144">
        <f>J121</f>
        <v>0</v>
      </c>
    </row>
    <row r="90" spans="2:12" x14ac:dyDescent="0.25">
      <c r="B90" t="s">
        <v>157</v>
      </c>
      <c r="F90" s="144">
        <f>F120</f>
        <v>0</v>
      </c>
      <c r="G90" s="144">
        <f>G120</f>
        <v>0</v>
      </c>
      <c r="H90" s="144">
        <f>H120</f>
        <v>0</v>
      </c>
      <c r="I90" s="144">
        <f>I120</f>
        <v>0</v>
      </c>
      <c r="J90" s="144">
        <f>J120</f>
        <v>0</v>
      </c>
    </row>
    <row r="91" spans="2:12" x14ac:dyDescent="0.25">
      <c r="B91" s="1" t="s">
        <v>158</v>
      </c>
      <c r="F91" s="69">
        <f>SUM(F88:F90)</f>
        <v>0</v>
      </c>
      <c r="G91" s="69">
        <f>SUM(G88:G90)</f>
        <v>0</v>
      </c>
      <c r="H91" s="69">
        <f>SUM(H88:H90)</f>
        <v>0</v>
      </c>
      <c r="I91" s="69">
        <f>SUM(I88:I90)</f>
        <v>0</v>
      </c>
      <c r="J91" s="69">
        <f>SUM(J88:J90)</f>
        <v>0</v>
      </c>
    </row>
    <row r="92" spans="2:12" x14ac:dyDescent="0.25">
      <c r="F92" s="144"/>
      <c r="G92" s="144"/>
      <c r="H92" s="144"/>
      <c r="I92" s="144"/>
      <c r="J92" s="144"/>
    </row>
    <row r="93" spans="2:12" x14ac:dyDescent="0.25">
      <c r="B93" s="1" t="s">
        <v>159</v>
      </c>
      <c r="F93" s="69">
        <f ca="1">F83+F86+F91</f>
        <v>-11891.477664461039</v>
      </c>
      <c r="G93" s="69">
        <f ca="1">G83+G86+G91</f>
        <v>4359.4108194404398</v>
      </c>
      <c r="H93" s="69">
        <f ca="1">H83+H86+H91</f>
        <v>23918.003412030259</v>
      </c>
      <c r="I93" s="69">
        <f ca="1">I83+I86+I91</f>
        <v>32225.876875727699</v>
      </c>
      <c r="J93" s="69">
        <f ca="1">J83+J86+J91</f>
        <v>40449.44820302233</v>
      </c>
    </row>
    <row r="95" spans="2:12" x14ac:dyDescent="0.25">
      <c r="B95" s="133" t="s">
        <v>160</v>
      </c>
      <c r="C95" s="122"/>
      <c r="D95" s="122"/>
      <c r="E95" s="122"/>
      <c r="F95" s="122"/>
      <c r="G95" s="122"/>
      <c r="H95" s="122"/>
      <c r="I95" s="122"/>
      <c r="J95" s="122"/>
    </row>
    <row r="96" spans="2:12" x14ac:dyDescent="0.25">
      <c r="B96" s="149" t="str">
        <f t="shared" ref="B96:J97" si="23">B15</f>
        <v xml:space="preserve">Fiscal year  </v>
      </c>
      <c r="C96" s="150">
        <f t="shared" si="23"/>
        <v>2023</v>
      </c>
      <c r="D96" s="150">
        <f t="shared" si="23"/>
        <v>2024</v>
      </c>
      <c r="E96" s="150">
        <f t="shared" si="23"/>
        <v>2025</v>
      </c>
      <c r="F96" s="151">
        <f t="shared" si="23"/>
        <v>2026</v>
      </c>
      <c r="G96" s="151">
        <f t="shared" si="23"/>
        <v>2027</v>
      </c>
      <c r="H96" s="151">
        <f t="shared" si="23"/>
        <v>2028</v>
      </c>
      <c r="I96" s="151">
        <f t="shared" si="23"/>
        <v>2029</v>
      </c>
      <c r="J96" s="151">
        <f t="shared" si="23"/>
        <v>2030</v>
      </c>
    </row>
    <row r="97" spans="2:16" x14ac:dyDescent="0.25">
      <c r="B97" s="122" t="str">
        <f t="shared" si="23"/>
        <v>Fiscal year end date</v>
      </c>
      <c r="C97" s="152">
        <f t="shared" si="23"/>
        <v>45291</v>
      </c>
      <c r="D97" s="152">
        <f t="shared" si="23"/>
        <v>45657</v>
      </c>
      <c r="E97" s="152">
        <f t="shared" si="23"/>
        <v>46022</v>
      </c>
      <c r="F97" s="152">
        <f t="shared" si="23"/>
        <v>46387</v>
      </c>
      <c r="G97" s="152">
        <f t="shared" si="23"/>
        <v>46752</v>
      </c>
      <c r="H97" s="152">
        <f t="shared" si="23"/>
        <v>47118</v>
      </c>
      <c r="I97" s="152">
        <f t="shared" si="23"/>
        <v>47483</v>
      </c>
      <c r="J97" s="152">
        <f t="shared" si="23"/>
        <v>47848</v>
      </c>
    </row>
    <row r="98" spans="2:16" x14ac:dyDescent="0.25">
      <c r="B98" s="1"/>
      <c r="F98" s="155" t="s">
        <v>161</v>
      </c>
      <c r="G98" s="155"/>
      <c r="H98" s="155"/>
      <c r="I98" s="155"/>
      <c r="J98" s="155"/>
    </row>
    <row r="99" spans="2:16" x14ac:dyDescent="0.25">
      <c r="B99" s="52" t="s">
        <v>162</v>
      </c>
      <c r="F99" s="144">
        <f>E102</f>
        <v>357025</v>
      </c>
      <c r="G99" s="144">
        <f>F102</f>
        <v>475008.41202977113</v>
      </c>
      <c r="H99" s="144">
        <f>G102</f>
        <v>590223.80563593714</v>
      </c>
      <c r="I99" s="144">
        <f>H102</f>
        <v>711783.40417917748</v>
      </c>
      <c r="J99" s="144">
        <f ca="1">I102</f>
        <v>844364.00387312414</v>
      </c>
    </row>
    <row r="100" spans="2:16" x14ac:dyDescent="0.25">
      <c r="B100" s="156" t="s">
        <v>163</v>
      </c>
      <c r="C100" s="58">
        <v>52729</v>
      </c>
      <c r="D100" s="58">
        <v>82999</v>
      </c>
      <c r="E100" s="58">
        <v>131819</v>
      </c>
      <c r="F100" s="58">
        <v>178185.02</v>
      </c>
      <c r="G100" s="58">
        <v>179424.13</v>
      </c>
      <c r="H100" s="58">
        <v>195389.49</v>
      </c>
      <c r="I100" s="144">
        <f ca="1">H100*(1+I39)</f>
        <v>220182.38423030399</v>
      </c>
      <c r="J100" s="144">
        <f ca="1">I100*(1+J39)</f>
        <v>248121.23889233355</v>
      </c>
    </row>
    <row r="101" spans="2:16" x14ac:dyDescent="0.25">
      <c r="B101" s="157" t="s">
        <v>164</v>
      </c>
      <c r="C101" s="158">
        <v>-30200</v>
      </c>
      <c r="D101" s="158">
        <v>-32100</v>
      </c>
      <c r="E101" s="158">
        <v>-41900</v>
      </c>
      <c r="F101" s="159">
        <f>-(F104*F100)</f>
        <v>-60201.60797022887</v>
      </c>
      <c r="G101" s="159">
        <f>-(G104*G100)</f>
        <v>-64208.736393833977</v>
      </c>
      <c r="H101" s="159">
        <f>-(H104*H100)</f>
        <v>-73829.891456759651</v>
      </c>
      <c r="I101" s="159">
        <f ca="1">-(I104*I100)</f>
        <v>-87601.784536357387</v>
      </c>
      <c r="J101" s="159">
        <f ca="1">-(J104*J100)</f>
        <v>-103679.96471330863</v>
      </c>
    </row>
    <row r="102" spans="2:16" x14ac:dyDescent="0.25">
      <c r="B102" s="160" t="s">
        <v>165</v>
      </c>
      <c r="C102" s="69"/>
      <c r="D102" s="69">
        <f>D51</f>
        <v>252665</v>
      </c>
      <c r="E102" s="69">
        <f>E51</f>
        <v>357025</v>
      </c>
      <c r="F102" s="69">
        <f>SUM(F99:F101)</f>
        <v>475008.41202977113</v>
      </c>
      <c r="G102" s="69">
        <f>SUM(G99:G101)</f>
        <v>590223.80563593714</v>
      </c>
      <c r="H102" s="69">
        <f>SUM(H99:H101)</f>
        <v>711783.40417917748</v>
      </c>
      <c r="I102" s="69">
        <f ca="1">SUM(I99:I101)</f>
        <v>844364.00387312414</v>
      </c>
      <c r="J102" s="69">
        <f ca="1">SUM(J99:J101)</f>
        <v>988805.27805214899</v>
      </c>
    </row>
    <row r="103" spans="2:16" x14ac:dyDescent="0.25">
      <c r="B103" s="52"/>
      <c r="L103" s="53" t="s">
        <v>166</v>
      </c>
    </row>
    <row r="104" spans="2:16" x14ac:dyDescent="0.25">
      <c r="B104" s="52" t="s">
        <v>167</v>
      </c>
      <c r="C104" s="161">
        <f>-(C101/C100)</f>
        <v>0.57273985852187603</v>
      </c>
      <c r="D104" s="161">
        <f>-(D101/D100)</f>
        <v>0.38675164761021219</v>
      </c>
      <c r="E104" s="161">
        <f>-(E101/E100)</f>
        <v>0.31786009604078319</v>
      </c>
      <c r="F104" s="146">
        <f>E104+$L$104</f>
        <v>0.33786009604078321</v>
      </c>
      <c r="G104" s="146">
        <f>F104+$L$104</f>
        <v>0.35786009604078323</v>
      </c>
      <c r="H104" s="146">
        <f>G104+$L$104</f>
        <v>0.37786009604078324</v>
      </c>
      <c r="I104" s="146">
        <f>H104+$L$104</f>
        <v>0.39786009604078326</v>
      </c>
      <c r="J104" s="146">
        <f>I104+$L$104</f>
        <v>0.41786009604078328</v>
      </c>
      <c r="L104" s="162">
        <v>0.02</v>
      </c>
      <c r="N104" s="163"/>
      <c r="O104" s="163"/>
      <c r="P104" s="163"/>
    </row>
    <row r="105" spans="2:16" x14ac:dyDescent="0.25">
      <c r="B105" s="52"/>
      <c r="C105" s="161"/>
      <c r="D105" s="161"/>
      <c r="E105" s="161"/>
      <c r="F105" s="146"/>
      <c r="G105" s="146"/>
      <c r="H105" s="146"/>
      <c r="I105" s="146"/>
      <c r="J105" s="146"/>
      <c r="N105" s="163"/>
      <c r="O105" s="163"/>
      <c r="P105" s="163"/>
    </row>
    <row r="106" spans="2:16" x14ac:dyDescent="0.25">
      <c r="B106" s="164" t="s">
        <v>168</v>
      </c>
      <c r="C106" s="165"/>
      <c r="D106" s="165"/>
      <c r="E106" s="165"/>
      <c r="F106" s="166"/>
      <c r="G106" s="166"/>
      <c r="H106" s="166"/>
      <c r="I106" s="166"/>
      <c r="J106" s="166"/>
      <c r="N106" s="163"/>
      <c r="O106" s="163"/>
      <c r="P106" s="163"/>
    </row>
    <row r="107" spans="2:16" x14ac:dyDescent="0.25">
      <c r="B107" s="52" t="s">
        <v>169</v>
      </c>
      <c r="C107" s="144">
        <f>C109+C101</f>
        <v>18463</v>
      </c>
      <c r="D107" s="144">
        <f>D109+D101</f>
        <v>20695</v>
      </c>
      <c r="E107" s="144">
        <f>E109+E101</f>
        <v>23856</v>
      </c>
      <c r="F107" s="34">
        <f ca="1">F108*F18</f>
        <v>26788.650047039999</v>
      </c>
      <c r="G107" s="34">
        <f ca="1">G108*G18</f>
        <v>29800.040689572405</v>
      </c>
      <c r="H107" s="34">
        <f ca="1">H108*H18</f>
        <v>33581.35593265597</v>
      </c>
      <c r="I107" s="34">
        <f ca="1">I108*I18</f>
        <v>37842.480754408316</v>
      </c>
      <c r="J107" s="34">
        <f ca="1">J108*J18</f>
        <v>42644.298000342875</v>
      </c>
      <c r="N107" s="163"/>
      <c r="O107" s="163"/>
      <c r="P107" s="163"/>
    </row>
    <row r="108" spans="2:16" x14ac:dyDescent="0.25">
      <c r="B108" s="26" t="s">
        <v>25</v>
      </c>
      <c r="C108" s="49">
        <f>C107/C18</f>
        <v>3.2121575893594996E-2</v>
      </c>
      <c r="D108" s="49">
        <f>D107/D18</f>
        <v>3.2439388738147751E-2</v>
      </c>
      <c r="E108" s="49">
        <f>E107/E18</f>
        <v>3.3275493636703471E-2</v>
      </c>
      <c r="F108" s="146">
        <f>E108</f>
        <v>3.3275493636703471E-2</v>
      </c>
      <c r="G108" s="146">
        <f>F108</f>
        <v>3.3275493636703471E-2</v>
      </c>
      <c r="H108" s="146">
        <f>G108</f>
        <v>3.3275493636703471E-2</v>
      </c>
      <c r="I108" s="146">
        <f>H108</f>
        <v>3.3275493636703471E-2</v>
      </c>
      <c r="J108" s="146">
        <f>I108</f>
        <v>3.3275493636703471E-2</v>
      </c>
    </row>
    <row r="109" spans="2:16" x14ac:dyDescent="0.25">
      <c r="B109" s="62" t="s">
        <v>170</v>
      </c>
      <c r="C109" s="69">
        <f>C33</f>
        <v>48663</v>
      </c>
      <c r="D109" s="69">
        <f>D33</f>
        <v>52795</v>
      </c>
      <c r="E109" s="69">
        <f>E33</f>
        <v>65756</v>
      </c>
      <c r="F109" s="142">
        <f ca="1">-F101+F107</f>
        <v>86990.258017268876</v>
      </c>
      <c r="G109" s="142">
        <f ca="1">-G101+G107</f>
        <v>94008.777083406385</v>
      </c>
      <c r="H109" s="142">
        <f ca="1">-H101+H107</f>
        <v>107411.24738941563</v>
      </c>
      <c r="I109" s="142">
        <f ca="1">-I101+I107</f>
        <v>125444.2652907657</v>
      </c>
      <c r="J109" s="142">
        <f ca="1">-J101+J107</f>
        <v>146324.26271365149</v>
      </c>
    </row>
    <row r="110" spans="2:16" x14ac:dyDescent="0.25">
      <c r="B110" s="52"/>
      <c r="C110" s="144"/>
      <c r="D110" s="144"/>
      <c r="E110" s="144"/>
      <c r="G110" s="144"/>
      <c r="H110" s="144"/>
      <c r="I110" s="144"/>
      <c r="J110" s="144"/>
    </row>
    <row r="111" spans="2:16" x14ac:dyDescent="0.25">
      <c r="B111" s="167" t="s">
        <v>171</v>
      </c>
      <c r="C111" s="122"/>
      <c r="D111" s="122"/>
      <c r="E111" s="122"/>
      <c r="G111" s="144"/>
      <c r="H111" s="144"/>
      <c r="I111" s="144"/>
      <c r="J111" s="144"/>
    </row>
    <row r="112" spans="2:16" x14ac:dyDescent="0.25">
      <c r="B112" s="52" t="s">
        <v>162</v>
      </c>
      <c r="C112" s="144"/>
      <c r="F112" s="168">
        <f>E115</f>
        <v>231934</v>
      </c>
      <c r="G112" s="168">
        <f ca="1">F115</f>
        <v>260445.95741156003</v>
      </c>
      <c r="H112" s="168">
        <f ca="1">G115</f>
        <v>289723.45059084875</v>
      </c>
      <c r="I112" s="168">
        <f ca="1">H115</f>
        <v>326486.34334694128</v>
      </c>
      <c r="J112" s="168">
        <f ca="1">I115</f>
        <v>367914.0648596973</v>
      </c>
    </row>
    <row r="113" spans="2:18" x14ac:dyDescent="0.25">
      <c r="B113" s="26" t="s">
        <v>172</v>
      </c>
      <c r="F113" s="144">
        <f ca="1">-(F107)</f>
        <v>-26788.650047039999</v>
      </c>
      <c r="G113" s="144">
        <f ca="1">-(G107)</f>
        <v>-29800.040689572405</v>
      </c>
      <c r="H113" s="144">
        <f ca="1">-(H107)</f>
        <v>-33581.35593265597</v>
      </c>
      <c r="I113" s="144">
        <f ca="1">-(I107)</f>
        <v>-37842.480754408316</v>
      </c>
      <c r="J113" s="144">
        <f ca="1">-(J107)</f>
        <v>-42644.298000342875</v>
      </c>
    </row>
    <row r="114" spans="2:18" ht="15" customHeight="1" x14ac:dyDescent="0.25">
      <c r="B114" s="169" t="s">
        <v>173</v>
      </c>
      <c r="C114" s="16"/>
      <c r="D114" s="16"/>
      <c r="E114" s="16"/>
      <c r="F114" s="170">
        <f ca="1">F115-F113-F112</f>
        <v>55300.607458600018</v>
      </c>
      <c r="G114" s="170">
        <f ca="1">G115-G113-G112</f>
        <v>59077.533868861123</v>
      </c>
      <c r="H114" s="170">
        <f ca="1">H115-H113-H112</f>
        <v>70344.248688748514</v>
      </c>
      <c r="I114" s="170">
        <f ca="1">I115-I113-I112</f>
        <v>79270.202267164364</v>
      </c>
      <c r="J114" s="170">
        <f ca="1">J115-J113-J112</f>
        <v>89328.766524763894</v>
      </c>
    </row>
    <row r="115" spans="2:18" x14ac:dyDescent="0.25">
      <c r="B115" s="160" t="s">
        <v>165</v>
      </c>
      <c r="D115" s="69">
        <f t="shared" ref="D115:J115" si="24">D52</f>
        <v>181362</v>
      </c>
      <c r="E115" s="69">
        <f t="shared" si="24"/>
        <v>231934</v>
      </c>
      <c r="F115" s="69">
        <f t="shared" ca="1" si="24"/>
        <v>260445.95741156003</v>
      </c>
      <c r="G115" s="69">
        <f t="shared" ca="1" si="24"/>
        <v>289723.45059084875</v>
      </c>
      <c r="H115" s="69">
        <f t="shared" ca="1" si="24"/>
        <v>326486.34334694128</v>
      </c>
      <c r="I115" s="69">
        <f t="shared" ca="1" si="24"/>
        <v>367914.0648596973</v>
      </c>
      <c r="J115" s="69">
        <f t="shared" ca="1" si="24"/>
        <v>414598.53338411835</v>
      </c>
    </row>
    <row r="116" spans="2:18" x14ac:dyDescent="0.25">
      <c r="B116" s="26"/>
      <c r="D116" s="144"/>
      <c r="E116" s="144"/>
      <c r="G116" s="144"/>
      <c r="H116" s="144"/>
      <c r="I116" s="144"/>
      <c r="J116" s="144"/>
    </row>
    <row r="117" spans="2:18" x14ac:dyDescent="0.25">
      <c r="B117" s="171" t="s">
        <v>174</v>
      </c>
      <c r="C117" s="167"/>
      <c r="D117" s="167"/>
      <c r="E117" s="167"/>
      <c r="F117" s="122"/>
      <c r="G117" s="122"/>
      <c r="H117" s="122"/>
      <c r="I117" s="122"/>
      <c r="J117" s="122"/>
    </row>
    <row r="118" spans="2:18" x14ac:dyDescent="0.25">
      <c r="B118" s="52" t="s">
        <v>162</v>
      </c>
      <c r="F118" s="144">
        <f>E122</f>
        <v>250536</v>
      </c>
      <c r="G118" s="144">
        <f ca="1">F122</f>
        <v>345135.01572105382</v>
      </c>
      <c r="H118" s="144">
        <f ca="1">G122</f>
        <v>452447.49425629614</v>
      </c>
      <c r="I118" s="144">
        <f ca="1">H122</f>
        <v>585837.75843859697</v>
      </c>
      <c r="J118" s="144">
        <f ca="1">I122</f>
        <v>735211.01381881733</v>
      </c>
    </row>
    <row r="119" spans="2:18" x14ac:dyDescent="0.25">
      <c r="B119" s="26" t="s">
        <v>175</v>
      </c>
      <c r="C119" s="34">
        <f t="shared" ref="C119:J119" si="25">C31</f>
        <v>30425</v>
      </c>
      <c r="D119" s="34">
        <f t="shared" si="25"/>
        <v>59248</v>
      </c>
      <c r="E119" s="34">
        <f t="shared" si="25"/>
        <v>77670</v>
      </c>
      <c r="F119" s="144">
        <f t="shared" ca="1" si="25"/>
        <v>94599.015721053787</v>
      </c>
      <c r="G119" s="144">
        <f t="shared" ca="1" si="25"/>
        <v>107312.47853524234</v>
      </c>
      <c r="H119" s="144">
        <f t="shared" ca="1" si="25"/>
        <v>133390.26418230077</v>
      </c>
      <c r="I119" s="144">
        <f t="shared" ca="1" si="25"/>
        <v>149373.25538022036</v>
      </c>
      <c r="J119" s="144">
        <f t="shared" ca="1" si="25"/>
        <v>167499.18592915198</v>
      </c>
    </row>
    <row r="120" spans="2:18" x14ac:dyDescent="0.25">
      <c r="B120" s="26" t="s">
        <v>176</v>
      </c>
      <c r="C120" s="58">
        <v>0</v>
      </c>
      <c r="D120" s="58">
        <v>0</v>
      </c>
      <c r="E120" s="58">
        <v>0</v>
      </c>
      <c r="F120" s="144">
        <f>E120</f>
        <v>0</v>
      </c>
      <c r="G120" s="144">
        <f>F120</f>
        <v>0</v>
      </c>
      <c r="H120" s="144">
        <f t="shared" ref="H120:J121" si="26">G120</f>
        <v>0</v>
      </c>
      <c r="I120" s="144">
        <f t="shared" si="26"/>
        <v>0</v>
      </c>
      <c r="J120" s="144">
        <f t="shared" si="26"/>
        <v>0</v>
      </c>
    </row>
    <row r="121" spans="2:18" x14ac:dyDescent="0.25">
      <c r="B121" s="169" t="s">
        <v>177</v>
      </c>
      <c r="C121" s="158">
        <v>0</v>
      </c>
      <c r="D121" s="158">
        <v>0</v>
      </c>
      <c r="E121" s="158">
        <v>0</v>
      </c>
      <c r="F121" s="159">
        <f>E121</f>
        <v>0</v>
      </c>
      <c r="G121" s="159">
        <f>F121</f>
        <v>0</v>
      </c>
      <c r="H121" s="159">
        <f t="shared" si="26"/>
        <v>0</v>
      </c>
      <c r="I121" s="159">
        <f t="shared" si="26"/>
        <v>0</v>
      </c>
      <c r="J121" s="159">
        <f t="shared" si="26"/>
        <v>0</v>
      </c>
    </row>
    <row r="122" spans="2:18" x14ac:dyDescent="0.25">
      <c r="B122" s="160" t="s">
        <v>165</v>
      </c>
      <c r="C122" s="142">
        <f>C66</f>
        <v>0</v>
      </c>
      <c r="D122" s="142">
        <f>D66</f>
        <v>172866</v>
      </c>
      <c r="E122" s="142">
        <f>E66</f>
        <v>250536</v>
      </c>
      <c r="F122" s="69">
        <f ca="1">SUM(F118:F121)</f>
        <v>345135.01572105382</v>
      </c>
      <c r="G122" s="69">
        <f ca="1">SUM(G118:G121)</f>
        <v>452447.49425629614</v>
      </c>
      <c r="H122" s="69">
        <f ca="1">SUM(H118:H121)</f>
        <v>585837.75843859697</v>
      </c>
      <c r="I122" s="69">
        <f ca="1">SUM(I118:I121)</f>
        <v>735211.01381881733</v>
      </c>
      <c r="J122" s="69">
        <f ca="1">SUM(J118:J121)</f>
        <v>902710.19974796928</v>
      </c>
    </row>
    <row r="123" spans="2:18" x14ac:dyDescent="0.25">
      <c r="D123" s="154"/>
      <c r="E123" s="154"/>
    </row>
    <row r="124" spans="2:18" x14ac:dyDescent="0.25">
      <c r="C124" s="144"/>
      <c r="D124" s="144"/>
      <c r="E124" s="172"/>
      <c r="F124" s="173"/>
      <c r="G124" s="173"/>
      <c r="H124" s="173"/>
      <c r="I124" s="173"/>
      <c r="J124" s="173"/>
      <c r="R124" s="154"/>
    </row>
    <row r="125" spans="2:18" x14ac:dyDescent="0.25">
      <c r="B125" s="133" t="s">
        <v>178</v>
      </c>
      <c r="C125" s="165"/>
      <c r="D125" s="165"/>
      <c r="E125" s="165"/>
      <c r="F125" s="174"/>
      <c r="G125" s="174"/>
      <c r="H125" s="174"/>
      <c r="I125" s="174"/>
      <c r="J125" s="174"/>
      <c r="Q125" s="175"/>
    </row>
    <row r="126" spans="2:18" x14ac:dyDescent="0.25">
      <c r="B126" s="149" t="str">
        <f t="shared" ref="B126:J127" si="27">B15</f>
        <v xml:space="preserve">Fiscal year  </v>
      </c>
      <c r="C126" s="150">
        <f t="shared" si="27"/>
        <v>2023</v>
      </c>
      <c r="D126" s="150">
        <f t="shared" si="27"/>
        <v>2024</v>
      </c>
      <c r="E126" s="150">
        <f t="shared" si="27"/>
        <v>2025</v>
      </c>
      <c r="F126" s="151">
        <f t="shared" si="27"/>
        <v>2026</v>
      </c>
      <c r="G126" s="151">
        <f t="shared" si="27"/>
        <v>2027</v>
      </c>
      <c r="H126" s="151">
        <f t="shared" si="27"/>
        <v>2028</v>
      </c>
      <c r="I126" s="151">
        <f t="shared" si="27"/>
        <v>2029</v>
      </c>
      <c r="J126" s="151">
        <f t="shared" si="27"/>
        <v>2030</v>
      </c>
      <c r="Q126" s="175"/>
      <c r="R126" s="154"/>
    </row>
    <row r="127" spans="2:18" x14ac:dyDescent="0.25">
      <c r="B127" s="122" t="str">
        <f t="shared" si="27"/>
        <v>Fiscal year end date</v>
      </c>
      <c r="C127" s="152">
        <f t="shared" si="27"/>
        <v>45291</v>
      </c>
      <c r="D127" s="152">
        <f t="shared" si="27"/>
        <v>45657</v>
      </c>
      <c r="E127" s="152">
        <f t="shared" si="27"/>
        <v>46022</v>
      </c>
      <c r="F127" s="152">
        <f t="shared" si="27"/>
        <v>46387</v>
      </c>
      <c r="G127" s="152">
        <f t="shared" si="27"/>
        <v>46752</v>
      </c>
      <c r="H127" s="152">
        <f t="shared" si="27"/>
        <v>47118</v>
      </c>
      <c r="I127" s="152">
        <f t="shared" si="27"/>
        <v>47483</v>
      </c>
      <c r="J127" s="152">
        <f t="shared" si="27"/>
        <v>47848</v>
      </c>
      <c r="Q127" s="175"/>
    </row>
    <row r="128" spans="2:18" x14ac:dyDescent="0.25">
      <c r="B128" s="26"/>
      <c r="C128" s="144"/>
      <c r="D128" s="144"/>
      <c r="E128" s="144"/>
      <c r="F128" s="176"/>
      <c r="G128" s="176"/>
      <c r="H128" s="176"/>
      <c r="I128" s="176"/>
      <c r="J128" s="176"/>
      <c r="Q128" s="175"/>
    </row>
    <row r="129" spans="2:17" x14ac:dyDescent="0.25">
      <c r="B129" s="52" t="s">
        <v>179</v>
      </c>
      <c r="C129" s="144">
        <f>-(C26)</f>
        <v>3182</v>
      </c>
      <c r="D129" s="144">
        <f>-(D26)</f>
        <v>2406</v>
      </c>
      <c r="E129" s="144">
        <f>-(E26)</f>
        <v>2274</v>
      </c>
      <c r="F129" s="144">
        <f>F134</f>
        <v>-2524.4320585773353</v>
      </c>
      <c r="G129" s="144">
        <f t="shared" ref="G129:J129" si="28">G134</f>
        <v>-2524.4320585773353</v>
      </c>
      <c r="H129" s="144">
        <f t="shared" si="28"/>
        <v>-2524.4320585773353</v>
      </c>
      <c r="I129" s="144">
        <f t="shared" si="28"/>
        <v>-2524.4320585773353</v>
      </c>
      <c r="J129" s="144">
        <f t="shared" si="28"/>
        <v>-2524.4320585773353</v>
      </c>
      <c r="Q129" s="154"/>
    </row>
    <row r="130" spans="2:17" x14ac:dyDescent="0.25">
      <c r="B130" s="177"/>
      <c r="C130" s="144"/>
      <c r="D130" s="144"/>
      <c r="E130" s="144"/>
    </row>
    <row r="131" spans="2:17" x14ac:dyDescent="0.25">
      <c r="B131" s="178" t="s">
        <v>155</v>
      </c>
      <c r="C131" s="144"/>
      <c r="D131" s="144"/>
      <c r="E131" s="144"/>
    </row>
    <row r="132" spans="2:17" x14ac:dyDescent="0.25">
      <c r="B132" s="26" t="s">
        <v>180</v>
      </c>
      <c r="C132" s="144"/>
      <c r="D132" s="144">
        <f t="shared" ref="D132:J132" si="29">D59</f>
        <v>52623</v>
      </c>
      <c r="E132" s="144">
        <f t="shared" si="29"/>
        <v>65648</v>
      </c>
      <c r="F132" s="144">
        <f t="shared" si="29"/>
        <v>65648</v>
      </c>
      <c r="G132" s="144">
        <f t="shared" si="29"/>
        <v>65648</v>
      </c>
      <c r="H132" s="144">
        <f t="shared" si="29"/>
        <v>65648</v>
      </c>
      <c r="I132" s="144">
        <f t="shared" si="29"/>
        <v>65648</v>
      </c>
      <c r="J132" s="144">
        <f t="shared" si="29"/>
        <v>65648</v>
      </c>
    </row>
    <row r="133" spans="2:17" x14ac:dyDescent="0.25">
      <c r="B133" s="26" t="s">
        <v>181</v>
      </c>
      <c r="D133" s="49">
        <f>D134/AVERAGE(C132:D132)*-1</f>
        <v>4.5721452596773272E-2</v>
      </c>
      <c r="E133" s="49">
        <f>E134/AVERAGE(D132:E132)*-1</f>
        <v>3.8454058898631113E-2</v>
      </c>
      <c r="F133" s="179">
        <f>E133</f>
        <v>3.8454058898631113E-2</v>
      </c>
      <c r="G133" s="179">
        <f>F133</f>
        <v>3.8454058898631113E-2</v>
      </c>
      <c r="H133" s="179">
        <f>G133</f>
        <v>3.8454058898631113E-2</v>
      </c>
      <c r="I133" s="179">
        <f>H133</f>
        <v>3.8454058898631113E-2</v>
      </c>
      <c r="J133" s="179">
        <f>I133</f>
        <v>3.8454058898631113E-2</v>
      </c>
      <c r="Q133" s="175"/>
    </row>
    <row r="134" spans="2:17" x14ac:dyDescent="0.25">
      <c r="B134" s="160" t="s">
        <v>115</v>
      </c>
      <c r="C134" s="69"/>
      <c r="D134" s="69">
        <f>D129*-1</f>
        <v>-2406</v>
      </c>
      <c r="E134" s="69">
        <f>E129*-1</f>
        <v>-2274</v>
      </c>
      <c r="F134" s="142">
        <f>IF($C$7=1,F133*AVERAGE(E132:F132)*-1,0)</f>
        <v>-2524.4320585773353</v>
      </c>
      <c r="G134" s="142">
        <f t="shared" ref="G134:J134" si="30">IF($C$7=1,G133*AVERAGE(F132:G132)*-1,0)</f>
        <v>-2524.4320585773353</v>
      </c>
      <c r="H134" s="142">
        <f t="shared" si="30"/>
        <v>-2524.4320585773353</v>
      </c>
      <c r="I134" s="142">
        <f t="shared" si="30"/>
        <v>-2524.4320585773353</v>
      </c>
      <c r="J134" s="142">
        <f t="shared" si="30"/>
        <v>-2524.4320585773353</v>
      </c>
    </row>
    <row r="135" spans="2:17" x14ac:dyDescent="0.25">
      <c r="D135" s="144"/>
    </row>
    <row r="136" spans="2:17" x14ac:dyDescent="0.25">
      <c r="B136" s="180" t="s">
        <v>182</v>
      </c>
      <c r="D136" s="144"/>
      <c r="E136" s="144"/>
    </row>
    <row r="137" spans="2:17" ht="15" customHeight="1" x14ac:dyDescent="0.25">
      <c r="B137" s="26" t="s">
        <v>183</v>
      </c>
      <c r="C137" s="181">
        <v>0.03</v>
      </c>
      <c r="D137" s="182">
        <v>0.03</v>
      </c>
      <c r="E137" s="182">
        <v>0.03</v>
      </c>
      <c r="F137" s="183">
        <f>E137</f>
        <v>0.03</v>
      </c>
      <c r="G137" s="183">
        <f>F137</f>
        <v>0.03</v>
      </c>
      <c r="H137" s="183">
        <f>G137</f>
        <v>0.03</v>
      </c>
      <c r="I137" s="183">
        <f>H137</f>
        <v>0.03</v>
      </c>
      <c r="J137" s="183">
        <f>I137</f>
        <v>0.03</v>
      </c>
    </row>
    <row r="138" spans="2:17" ht="15" customHeight="1" x14ac:dyDescent="0.25">
      <c r="B138" s="26" t="s">
        <v>114</v>
      </c>
      <c r="C138" s="144">
        <f>C25</f>
        <v>2949</v>
      </c>
      <c r="D138" s="144">
        <f>D25</f>
        <v>4677</v>
      </c>
      <c r="E138" s="144">
        <f>E25</f>
        <v>4381</v>
      </c>
      <c r="F138" s="34">
        <f ca="1">IF($C$7=1,AVERAGE(E48,F48)*F137,0)</f>
        <v>3512.4978350330844</v>
      </c>
      <c r="G138" s="34">
        <f ca="1">IF($C$7=1,AVERAGE(F48,G48)*G137,0)</f>
        <v>3399.5168323577755</v>
      </c>
      <c r="H138" s="34">
        <f ca="1">IF($C$7=1,AVERAGE(G48,H48)*H137,0)</f>
        <v>3823.6780458298358</v>
      </c>
      <c r="I138" s="34">
        <f ca="1">IF($C$7=1,AVERAGE(H48,I48)*I137,0)</f>
        <v>4665.8362501462043</v>
      </c>
      <c r="J138" s="34">
        <f ca="1">IF($C$7=1,AVERAGE(I48,J48)*J137,0)</f>
        <v>5755.9661263274547</v>
      </c>
    </row>
    <row r="139" spans="2:17" x14ac:dyDescent="0.25">
      <c r="B139" s="184"/>
      <c r="C139" s="49"/>
      <c r="D139" s="49"/>
      <c r="E139" s="49"/>
      <c r="F139" s="49"/>
      <c r="G139" s="49"/>
    </row>
    <row r="140" spans="2:17" x14ac:dyDescent="0.25">
      <c r="B140" s="133" t="s">
        <v>184</v>
      </c>
      <c r="C140" s="133"/>
      <c r="D140" s="133"/>
      <c r="E140" s="133"/>
      <c r="F140" s="133"/>
      <c r="G140" s="133"/>
      <c r="H140" s="133"/>
      <c r="I140" s="133"/>
      <c r="J140" s="133"/>
    </row>
    <row r="141" spans="2:17" x14ac:dyDescent="0.25">
      <c r="B141" s="1"/>
    </row>
    <row r="142" spans="2:17" ht="15.75" thickBot="1" x14ac:dyDescent="0.3">
      <c r="B142" s="185" t="s">
        <v>185</v>
      </c>
      <c r="C142" s="186"/>
      <c r="D142" s="186"/>
      <c r="E142" s="186"/>
      <c r="F142" s="186"/>
      <c r="G142" s="186"/>
      <c r="H142" s="186"/>
    </row>
    <row r="143" spans="2:17" x14ac:dyDescent="0.25">
      <c r="C143" s="1"/>
      <c r="D143" s="187" t="s">
        <v>186</v>
      </c>
      <c r="E143" s="79"/>
      <c r="F143" s="79"/>
      <c r="G143" s="79"/>
      <c r="H143" s="79"/>
    </row>
    <row r="144" spans="2:17" ht="15.75" customHeight="1" thickBot="1" x14ac:dyDescent="0.3">
      <c r="C144" s="188">
        <f ca="1">F31</f>
        <v>94599.015721053787</v>
      </c>
      <c r="D144" s="189">
        <v>-0.05</v>
      </c>
      <c r="E144" s="189">
        <v>-2.5000000000000001E-2</v>
      </c>
      <c r="F144" s="189">
        <v>0</v>
      </c>
      <c r="G144" s="189">
        <v>2.5000000000000001E-2</v>
      </c>
      <c r="H144" s="189">
        <v>0.05</v>
      </c>
    </row>
    <row r="145" spans="2:15" x14ac:dyDescent="0.25">
      <c r="B145" s="81"/>
      <c r="C145" s="190">
        <v>0.39</v>
      </c>
      <c r="D145" s="191">
        <v>103797.4457953805</v>
      </c>
      <c r="E145" s="191">
        <v>106200.76534132597</v>
      </c>
      <c r="F145" s="191">
        <v>108604.08488727138</v>
      </c>
      <c r="G145" s="191">
        <v>111007.4044332169</v>
      </c>
      <c r="H145" s="191">
        <v>113410.72397916237</v>
      </c>
    </row>
    <row r="146" spans="2:15" x14ac:dyDescent="0.25">
      <c r="B146" s="192" t="s">
        <v>187</v>
      </c>
      <c r="C146" s="190">
        <v>0.38500000000000001</v>
      </c>
      <c r="D146" s="191">
        <v>100996.66483260492</v>
      </c>
      <c r="E146" s="191">
        <v>103326.27961637192</v>
      </c>
      <c r="F146" s="191">
        <v>105655.89440013902</v>
      </c>
      <c r="G146" s="191">
        <v>107985.50918390622</v>
      </c>
      <c r="H146" s="191">
        <v>110315.1239676734</v>
      </c>
    </row>
    <row r="147" spans="2:15" x14ac:dyDescent="0.25">
      <c r="B147" s="192" t="s">
        <v>188</v>
      </c>
      <c r="C147" s="190">
        <v>0.38</v>
      </c>
      <c r="D147" s="191">
        <v>98195.883869829151</v>
      </c>
      <c r="E147" s="191">
        <v>100451.79389141781</v>
      </c>
      <c r="F147" s="191">
        <v>102707.70391300666</v>
      </c>
      <c r="G147" s="191">
        <v>104963.6139345955</v>
      </c>
      <c r="H147" s="191">
        <v>107219.52395618438</v>
      </c>
    </row>
    <row r="148" spans="2:15" x14ac:dyDescent="0.25">
      <c r="B148" s="192" t="s">
        <v>189</v>
      </c>
      <c r="C148" s="190">
        <v>0.375</v>
      </c>
      <c r="D148" s="191">
        <v>95395.10290705337</v>
      </c>
      <c r="E148" s="191">
        <v>97577.308166463743</v>
      </c>
      <c r="F148" s="191">
        <v>99759.513425874262</v>
      </c>
      <c r="G148" s="191">
        <v>101941.71868528481</v>
      </c>
      <c r="H148" s="191">
        <v>104123.92394469537</v>
      </c>
    </row>
    <row r="149" spans="2:15" x14ac:dyDescent="0.25">
      <c r="C149" s="190">
        <v>0.37</v>
      </c>
      <c r="D149" s="191">
        <v>92594.321944277588</v>
      </c>
      <c r="E149" s="191">
        <v>94702.822441509663</v>
      </c>
      <c r="F149" s="191">
        <v>96811.322938741898</v>
      </c>
      <c r="G149" s="191">
        <v>98919.823435974104</v>
      </c>
      <c r="H149" s="191">
        <v>101028.3239332064</v>
      </c>
    </row>
    <row r="150" spans="2:15" x14ac:dyDescent="0.25">
      <c r="C150" s="190">
        <v>0.36499999999999999</v>
      </c>
      <c r="D150" s="191">
        <v>89793.540981501821</v>
      </c>
      <c r="E150" s="191">
        <v>91828.336716555597</v>
      </c>
      <c r="F150" s="191">
        <v>93863.13245160949</v>
      </c>
      <c r="G150" s="191">
        <v>95897.928186663412</v>
      </c>
      <c r="H150" s="191">
        <v>97932.723921717377</v>
      </c>
    </row>
    <row r="152" spans="2:15" x14ac:dyDescent="0.25">
      <c r="B152" s="133" t="s">
        <v>190</v>
      </c>
      <c r="C152" s="133"/>
      <c r="D152" s="133"/>
      <c r="E152" s="133"/>
      <c r="F152" s="133"/>
      <c r="G152" s="133"/>
      <c r="H152" s="133"/>
      <c r="I152" s="133"/>
      <c r="J152" s="133"/>
    </row>
    <row r="153" spans="2:15" ht="15.75" thickBot="1" x14ac:dyDescent="0.3"/>
    <row r="154" spans="2:15" ht="15.75" thickBot="1" x14ac:dyDescent="0.3">
      <c r="B154" t="s">
        <v>191</v>
      </c>
      <c r="C154" s="193" t="str">
        <f>C12</f>
        <v>Base case</v>
      </c>
      <c r="E154" s="194" t="s">
        <v>192</v>
      </c>
      <c r="F154" s="151">
        <f t="shared" ref="F154:J155" si="31">F15</f>
        <v>2026</v>
      </c>
      <c r="G154" s="151">
        <f t="shared" si="31"/>
        <v>2027</v>
      </c>
      <c r="H154" s="151">
        <f t="shared" si="31"/>
        <v>2028</v>
      </c>
      <c r="I154" s="151">
        <f t="shared" si="31"/>
        <v>2029</v>
      </c>
      <c r="J154" s="151">
        <f t="shared" si="31"/>
        <v>2030</v>
      </c>
    </row>
    <row r="155" spans="2:15" x14ac:dyDescent="0.25">
      <c r="D155" s="195"/>
      <c r="E155" s="196" t="s">
        <v>193</v>
      </c>
      <c r="F155" s="152">
        <f t="shared" si="31"/>
        <v>46387</v>
      </c>
      <c r="G155" s="152">
        <f t="shared" si="31"/>
        <v>46752</v>
      </c>
      <c r="H155" s="152">
        <f t="shared" si="31"/>
        <v>47118</v>
      </c>
      <c r="I155" s="152">
        <f t="shared" si="31"/>
        <v>47483</v>
      </c>
      <c r="J155" s="152">
        <f t="shared" si="31"/>
        <v>47848</v>
      </c>
    </row>
    <row r="156" spans="2:15" x14ac:dyDescent="0.25">
      <c r="B156" s="26" t="s">
        <v>124</v>
      </c>
      <c r="E156" s="197" t="str">
        <f t="shared" ref="E156:J159" ca="1" si="32">OFFSET(E$161,MATCH($C$12,$B$162:$B$164,0)+MATCH($B156,$B$161:$B$176,0)-1,0)</f>
        <v>NM</v>
      </c>
      <c r="F156" s="198">
        <f t="shared" ca="1" si="32"/>
        <v>0.12293134</v>
      </c>
      <c r="G156" s="198">
        <f t="shared" ca="1" si="32"/>
        <v>0.11241292999999999</v>
      </c>
      <c r="H156" s="198">
        <f t="shared" ca="1" si="32"/>
        <v>0.12688959999999999</v>
      </c>
      <c r="I156" s="198">
        <f t="shared" ca="1" si="32"/>
        <v>0.12688959999999999</v>
      </c>
      <c r="J156" s="198">
        <f t="shared" ca="1" si="32"/>
        <v>0.12688959999999999</v>
      </c>
      <c r="L156" s="199"/>
      <c r="M156" s="199"/>
      <c r="N156" s="199"/>
      <c r="O156" s="199"/>
    </row>
    <row r="157" spans="2:15" x14ac:dyDescent="0.25">
      <c r="B157" s="26" t="s">
        <v>125</v>
      </c>
      <c r="E157" s="197" t="str">
        <f t="shared" ca="1" si="32"/>
        <v>NM</v>
      </c>
      <c r="F157" s="198">
        <f t="shared" ca="1" si="32"/>
        <v>0.35099999999999998</v>
      </c>
      <c r="G157" s="198">
        <f t="shared" ca="1" si="32"/>
        <v>0.36</v>
      </c>
      <c r="H157" s="198">
        <f t="shared" ca="1" si="32"/>
        <v>0.37</v>
      </c>
      <c r="I157" s="198">
        <f t="shared" ca="1" si="32"/>
        <v>0.37</v>
      </c>
      <c r="J157" s="198">
        <f t="shared" ca="1" si="32"/>
        <v>0.37</v>
      </c>
      <c r="L157" s="199"/>
      <c r="M157" s="199"/>
      <c r="N157" s="199"/>
      <c r="O157" s="199"/>
    </row>
    <row r="158" spans="2:15" x14ac:dyDescent="0.25">
      <c r="B158" s="26" t="s">
        <v>194</v>
      </c>
      <c r="E158" s="197" t="str">
        <f t="shared" ca="1" si="32"/>
        <v>NM</v>
      </c>
      <c r="F158" s="198">
        <f t="shared" ca="1" si="32"/>
        <v>0.15</v>
      </c>
      <c r="G158" s="198">
        <f t="shared" ca="1" si="32"/>
        <v>0.155</v>
      </c>
      <c r="H158" s="198">
        <f t="shared" ca="1" si="32"/>
        <v>0.157</v>
      </c>
      <c r="I158" s="198">
        <f t="shared" ca="1" si="32"/>
        <v>0.157</v>
      </c>
      <c r="J158" s="198">
        <f t="shared" ca="1" si="32"/>
        <v>0.157</v>
      </c>
      <c r="L158" s="199"/>
      <c r="M158" s="199"/>
      <c r="N158" s="199"/>
      <c r="O158" s="199"/>
    </row>
    <row r="159" spans="2:15" x14ac:dyDescent="0.25">
      <c r="B159" s="26" t="s">
        <v>127</v>
      </c>
      <c r="E159" s="197" t="str">
        <f t="shared" ca="1" si="32"/>
        <v>NM</v>
      </c>
      <c r="F159" s="198">
        <f t="shared" ca="1" si="32"/>
        <v>7.5946229011548919E-2</v>
      </c>
      <c r="G159" s="198">
        <f t="shared" ca="1" si="32"/>
        <v>7.4649783165789962E-2</v>
      </c>
      <c r="H159" s="198">
        <f t="shared" ca="1" si="32"/>
        <v>6.6244096191742818E-2</v>
      </c>
      <c r="I159" s="198">
        <f t="shared" ca="1" si="32"/>
        <v>6.6244096191742818E-2</v>
      </c>
      <c r="J159" s="198">
        <f t="shared" ca="1" si="32"/>
        <v>6.6244096191742818E-2</v>
      </c>
      <c r="L159" s="199"/>
      <c r="M159" s="199"/>
      <c r="N159" s="199"/>
      <c r="O159" s="199"/>
    </row>
    <row r="160" spans="2:15" x14ac:dyDescent="0.25">
      <c r="E160" s="200"/>
    </row>
    <row r="161" spans="2:18" x14ac:dyDescent="0.25">
      <c r="B161" s="160" t="s">
        <v>124</v>
      </c>
      <c r="E161" s="200"/>
    </row>
    <row r="162" spans="2:18" x14ac:dyDescent="0.25">
      <c r="B162" s="177" t="s">
        <v>195</v>
      </c>
      <c r="E162" s="201">
        <v>2.5000000000000001E-2</v>
      </c>
      <c r="F162" s="146">
        <f>F163+$E$162</f>
        <v>0.14793133999999999</v>
      </c>
      <c r="G162" s="146">
        <f>G163+$E$162</f>
        <v>0.13741292999999999</v>
      </c>
      <c r="H162" s="146">
        <f>H163+$E$162</f>
        <v>0.15188959999999999</v>
      </c>
      <c r="I162" s="146">
        <f>I163+$E$162</f>
        <v>0.15188959999999999</v>
      </c>
      <c r="J162" s="146">
        <f>J163+$E$162</f>
        <v>0.15188959999999999</v>
      </c>
    </row>
    <row r="163" spans="2:18" x14ac:dyDescent="0.25">
      <c r="B163" s="177" t="s">
        <v>103</v>
      </c>
      <c r="E163" s="202" t="s">
        <v>196</v>
      </c>
      <c r="F163" s="147">
        <f>0.12293134</f>
        <v>0.12293134</v>
      </c>
      <c r="G163" s="147">
        <f>0.11241293</f>
        <v>0.11241292999999999</v>
      </c>
      <c r="H163" s="147">
        <f>0.1268896</f>
        <v>0.12688959999999999</v>
      </c>
      <c r="I163" s="146">
        <f>H163</f>
        <v>0.12688959999999999</v>
      </c>
      <c r="J163" s="146">
        <f>I163</f>
        <v>0.12688959999999999</v>
      </c>
      <c r="N163" s="147"/>
      <c r="O163" s="147"/>
      <c r="P163" s="147"/>
      <c r="Q163" s="147"/>
      <c r="R163" s="147"/>
    </row>
    <row r="164" spans="2:18" x14ac:dyDescent="0.25">
      <c r="B164" s="177" t="s">
        <v>197</v>
      </c>
      <c r="E164" s="201">
        <v>-2.5000000000000001E-2</v>
      </c>
      <c r="F164" s="146">
        <f>F163+$E$164</f>
        <v>9.7931340000000006E-2</v>
      </c>
      <c r="G164" s="146">
        <f>G163+$E$164</f>
        <v>8.741293E-2</v>
      </c>
      <c r="H164" s="146">
        <f>H163+$E$164</f>
        <v>0.1018896</v>
      </c>
      <c r="I164" s="146">
        <f>I163+$E$164</f>
        <v>0.1018896</v>
      </c>
      <c r="J164" s="146">
        <f>J163+$E$164</f>
        <v>0.1018896</v>
      </c>
      <c r="N164" s="147"/>
      <c r="O164" s="147"/>
      <c r="P164" s="147"/>
      <c r="Q164" s="147"/>
      <c r="R164" s="147"/>
    </row>
    <row r="165" spans="2:18" x14ac:dyDescent="0.25">
      <c r="B165" s="160" t="s">
        <v>125</v>
      </c>
      <c r="E165" s="202"/>
      <c r="F165" s="147"/>
      <c r="G165" s="147"/>
      <c r="H165" s="147"/>
      <c r="I165" s="147"/>
      <c r="J165" s="147"/>
      <c r="N165" s="147"/>
      <c r="O165" s="147"/>
      <c r="P165" s="147"/>
      <c r="Q165" s="147"/>
      <c r="R165" s="147"/>
    </row>
    <row r="166" spans="2:18" x14ac:dyDescent="0.25">
      <c r="B166" s="177" t="s">
        <v>195</v>
      </c>
      <c r="E166" s="201">
        <v>0.01</v>
      </c>
      <c r="F166" s="146">
        <f>F167+$E$166</f>
        <v>0.36099999999999999</v>
      </c>
      <c r="G166" s="146">
        <f>G167+$E$166</f>
        <v>0.37</v>
      </c>
      <c r="H166" s="146">
        <f>H167+$E$166</f>
        <v>0.38</v>
      </c>
      <c r="I166" s="146">
        <f>I167+$E$166</f>
        <v>0.38</v>
      </c>
      <c r="J166" s="146">
        <f>J167+$E$166</f>
        <v>0.38</v>
      </c>
    </row>
    <row r="167" spans="2:18" x14ac:dyDescent="0.25">
      <c r="B167" s="177" t="s">
        <v>103</v>
      </c>
      <c r="E167" s="202" t="s">
        <v>196</v>
      </c>
      <c r="F167" s="147">
        <v>0.35099999999999998</v>
      </c>
      <c r="G167" s="147">
        <v>0.36</v>
      </c>
      <c r="H167" s="147">
        <v>0.37</v>
      </c>
      <c r="I167" s="146">
        <f>H167</f>
        <v>0.37</v>
      </c>
      <c r="J167" s="146">
        <f>I167</f>
        <v>0.37</v>
      </c>
    </row>
    <row r="168" spans="2:18" x14ac:dyDescent="0.25">
      <c r="B168" s="177" t="s">
        <v>197</v>
      </c>
      <c r="E168" s="201">
        <v>-0.01</v>
      </c>
      <c r="F168" s="146">
        <f>F167+$E$168</f>
        <v>0.34099999999999997</v>
      </c>
      <c r="G168" s="146">
        <f>G167+$E$168</f>
        <v>0.35</v>
      </c>
      <c r="H168" s="146">
        <f>H167+$E$168</f>
        <v>0.36</v>
      </c>
      <c r="I168" s="146">
        <f>I167+$E$168</f>
        <v>0.36</v>
      </c>
      <c r="J168" s="146">
        <f>J167+$E$168</f>
        <v>0.36</v>
      </c>
    </row>
    <row r="169" spans="2:18" x14ac:dyDescent="0.25">
      <c r="B169" s="160" t="s">
        <v>194</v>
      </c>
      <c r="E169" s="201"/>
      <c r="F169" s="146"/>
      <c r="G169" s="146"/>
      <c r="H169" s="146"/>
      <c r="I169" s="146"/>
      <c r="J169" s="146"/>
    </row>
    <row r="170" spans="2:18" x14ac:dyDescent="0.25">
      <c r="B170" s="177" t="s">
        <v>195</v>
      </c>
      <c r="E170" s="201">
        <v>-0.01</v>
      </c>
      <c r="F170" s="146">
        <f>F171+$E$166</f>
        <v>0.16</v>
      </c>
      <c r="G170" s="146">
        <f>G171+$E$166</f>
        <v>0.16500000000000001</v>
      </c>
      <c r="H170" s="146">
        <f>H171+$E$166</f>
        <v>0.16700000000000001</v>
      </c>
      <c r="I170" s="146">
        <f>I171+$E$166</f>
        <v>0.16700000000000001</v>
      </c>
      <c r="J170" s="146">
        <f>J171+$E$166</f>
        <v>0.16700000000000001</v>
      </c>
    </row>
    <row r="171" spans="2:18" x14ac:dyDescent="0.25">
      <c r="B171" s="177" t="s">
        <v>103</v>
      </c>
      <c r="E171" s="202" t="s">
        <v>196</v>
      </c>
      <c r="F171" s="147">
        <v>0.15</v>
      </c>
      <c r="G171" s="147">
        <v>0.155</v>
      </c>
      <c r="H171" s="147">
        <v>0.157</v>
      </c>
      <c r="I171" s="146">
        <f>H171</f>
        <v>0.157</v>
      </c>
      <c r="J171" s="146">
        <f>I171</f>
        <v>0.157</v>
      </c>
    </row>
    <row r="172" spans="2:18" x14ac:dyDescent="0.25">
      <c r="B172" s="177" t="s">
        <v>197</v>
      </c>
      <c r="E172" s="201">
        <v>0.01</v>
      </c>
      <c r="F172" s="146">
        <f>F171+$E$168</f>
        <v>0.13999999999999999</v>
      </c>
      <c r="G172" s="146">
        <f>G171+$E$168</f>
        <v>0.14499999999999999</v>
      </c>
      <c r="H172" s="146">
        <f>H171+$E$168</f>
        <v>0.14699999999999999</v>
      </c>
      <c r="I172" s="146">
        <f>I171+$E$168</f>
        <v>0.14699999999999999</v>
      </c>
      <c r="J172" s="146">
        <f>J171+$E$168</f>
        <v>0.14699999999999999</v>
      </c>
    </row>
    <row r="173" spans="2:18" x14ac:dyDescent="0.25">
      <c r="B173" s="160" t="s">
        <v>127</v>
      </c>
      <c r="E173" s="202"/>
      <c r="F173" s="203"/>
      <c r="G173" s="203"/>
      <c r="H173" s="203"/>
      <c r="I173" s="203"/>
      <c r="J173" s="203"/>
    </row>
    <row r="174" spans="2:18" x14ac:dyDescent="0.25">
      <c r="B174" s="177" t="s">
        <v>195</v>
      </c>
      <c r="E174" s="201">
        <v>-0.01</v>
      </c>
      <c r="F174" s="146">
        <f>F175+$E$174</f>
        <v>6.5946229011548924E-2</v>
      </c>
      <c r="G174" s="146">
        <f>G175+$E$174</f>
        <v>6.4649783165789967E-2</v>
      </c>
      <c r="H174" s="146">
        <f>H175+$E$174</f>
        <v>5.6244096191742816E-2</v>
      </c>
      <c r="I174" s="146">
        <f>I175+$E$174</f>
        <v>5.6244096191742816E-2</v>
      </c>
      <c r="J174" s="146">
        <f>J175+$E$174</f>
        <v>5.6244096191742816E-2</v>
      </c>
    </row>
    <row r="175" spans="2:18" x14ac:dyDescent="0.25">
      <c r="B175" s="177" t="s">
        <v>103</v>
      </c>
      <c r="E175" s="202" t="s">
        <v>196</v>
      </c>
      <c r="F175" s="147">
        <v>7.5946229011548919E-2</v>
      </c>
      <c r="G175" s="147">
        <v>7.4649783165789962E-2</v>
      </c>
      <c r="H175" s="147">
        <v>6.6244096191742818E-2</v>
      </c>
      <c r="I175" s="146">
        <f>H175</f>
        <v>6.6244096191742818E-2</v>
      </c>
      <c r="J175" s="146">
        <f>I175</f>
        <v>6.6244096191742818E-2</v>
      </c>
    </row>
    <row r="176" spans="2:18" ht="15.75" thickBot="1" x14ac:dyDescent="0.3">
      <c r="B176" s="177" t="s">
        <v>197</v>
      </c>
      <c r="E176" s="204">
        <v>0.01</v>
      </c>
      <c r="F176" s="146">
        <f>F175+$E$176</f>
        <v>8.5946229011548914E-2</v>
      </c>
      <c r="G176" s="146">
        <f>G175+$E$176</f>
        <v>8.4649783165789957E-2</v>
      </c>
      <c r="H176" s="146">
        <f>H175+$E$176</f>
        <v>7.6244096191742813E-2</v>
      </c>
      <c r="I176" s="146">
        <f>I175+$E$176</f>
        <v>7.6244096191742813E-2</v>
      </c>
      <c r="J176" s="146">
        <f>J175+$E$176</f>
        <v>7.6244096191742813E-2</v>
      </c>
    </row>
    <row r="178" spans="2:12" x14ac:dyDescent="0.25">
      <c r="B178" s="133" t="s">
        <v>198</v>
      </c>
      <c r="C178" s="133"/>
      <c r="D178" s="133"/>
      <c r="E178" s="133"/>
      <c r="F178" s="133"/>
      <c r="G178" s="133"/>
      <c r="H178" s="133"/>
      <c r="I178" s="133"/>
      <c r="J178" s="133"/>
    </row>
    <row r="179" spans="2:12" x14ac:dyDescent="0.25">
      <c r="B179" s="149" t="str">
        <f t="shared" ref="B179:J180" si="33">B15</f>
        <v xml:space="preserve">Fiscal year  </v>
      </c>
      <c r="C179" s="150">
        <f t="shared" si="33"/>
        <v>2023</v>
      </c>
      <c r="D179" s="150">
        <f t="shared" si="33"/>
        <v>2024</v>
      </c>
      <c r="E179" s="150">
        <f t="shared" si="33"/>
        <v>2025</v>
      </c>
      <c r="F179" s="151">
        <f t="shared" si="33"/>
        <v>2026</v>
      </c>
      <c r="G179" s="151">
        <f t="shared" si="33"/>
        <v>2027</v>
      </c>
      <c r="H179" s="151">
        <f t="shared" si="33"/>
        <v>2028</v>
      </c>
      <c r="I179" s="151">
        <f t="shared" si="33"/>
        <v>2029</v>
      </c>
      <c r="J179" s="151">
        <f t="shared" si="33"/>
        <v>2030</v>
      </c>
    </row>
    <row r="180" spans="2:12" x14ac:dyDescent="0.25">
      <c r="B180" s="122" t="str">
        <f t="shared" si="33"/>
        <v>Fiscal year end date</v>
      </c>
      <c r="C180" s="152">
        <f t="shared" si="33"/>
        <v>45291</v>
      </c>
      <c r="D180" s="152">
        <f t="shared" si="33"/>
        <v>45657</v>
      </c>
      <c r="E180" s="152">
        <f t="shared" si="33"/>
        <v>46022</v>
      </c>
      <c r="F180" s="152">
        <f t="shared" si="33"/>
        <v>46387</v>
      </c>
      <c r="G180" s="152">
        <f t="shared" si="33"/>
        <v>46752</v>
      </c>
      <c r="H180" s="152">
        <f t="shared" si="33"/>
        <v>47118</v>
      </c>
      <c r="I180" s="152">
        <f t="shared" si="33"/>
        <v>47483</v>
      </c>
      <c r="J180" s="152">
        <f t="shared" si="33"/>
        <v>47848</v>
      </c>
    </row>
    <row r="181" spans="2:12" x14ac:dyDescent="0.25">
      <c r="F181" s="147"/>
      <c r="G181" s="147"/>
      <c r="H181" s="147"/>
      <c r="I181" s="146"/>
      <c r="J181" s="146"/>
    </row>
    <row r="182" spans="2:12" x14ac:dyDescent="0.25">
      <c r="B182" t="s">
        <v>120</v>
      </c>
      <c r="C182" s="205">
        <f t="shared" ref="C182:J182" si="34">C31</f>
        <v>30425</v>
      </c>
      <c r="D182" s="205">
        <f t="shared" si="34"/>
        <v>59248</v>
      </c>
      <c r="E182" s="205">
        <f t="shared" si="34"/>
        <v>77670</v>
      </c>
      <c r="F182" s="205">
        <f t="shared" ca="1" si="34"/>
        <v>94599.015721053787</v>
      </c>
      <c r="G182" s="205">
        <f t="shared" ca="1" si="34"/>
        <v>107312.47853524234</v>
      </c>
      <c r="H182" s="205">
        <f t="shared" ca="1" si="34"/>
        <v>133390.26418230077</v>
      </c>
      <c r="I182" s="205">
        <f t="shared" ca="1" si="34"/>
        <v>149373.25538022036</v>
      </c>
      <c r="J182" s="205">
        <f t="shared" ca="1" si="34"/>
        <v>167499.18592915198</v>
      </c>
    </row>
    <row r="183" spans="2:12" x14ac:dyDescent="0.25">
      <c r="B183" t="s">
        <v>199</v>
      </c>
      <c r="C183" s="206">
        <v>10304</v>
      </c>
      <c r="D183" s="206">
        <v>10473</v>
      </c>
      <c r="E183" s="206">
        <v>10656</v>
      </c>
      <c r="F183" s="205">
        <f ca="1">E183+(-F189+F190)/F191</f>
        <v>10760.095735217999</v>
      </c>
      <c r="G183" s="205">
        <f t="shared" ref="G183:J183" ca="1" si="35">F183+(-G189+G190)/G191</f>
        <v>10860.78916288266</v>
      </c>
      <c r="H183" s="205">
        <f t="shared" ca="1" si="35"/>
        <v>10959.459055424972</v>
      </c>
      <c r="I183" s="205">
        <f t="shared" ca="1" si="35"/>
        <v>11056.146077806752</v>
      </c>
      <c r="J183" s="205">
        <f t="shared" ca="1" si="35"/>
        <v>11150.890077786749</v>
      </c>
    </row>
    <row r="184" spans="2:12" x14ac:dyDescent="0.25">
      <c r="B184" s="1" t="s">
        <v>200</v>
      </c>
      <c r="C184" s="207">
        <f t="shared" ref="C184:J184" si="36">C182/C183</f>
        <v>2.9527368012422359</v>
      </c>
      <c r="D184" s="207">
        <f t="shared" si="36"/>
        <v>5.6572137878353859</v>
      </c>
      <c r="E184" s="207">
        <f t="shared" si="36"/>
        <v>7.2888513513513518</v>
      </c>
      <c r="F184" s="207">
        <f t="shared" ca="1" si="36"/>
        <v>8.791651863415062</v>
      </c>
      <c r="G184" s="207">
        <f t="shared" ca="1" si="36"/>
        <v>9.8807256936713763</v>
      </c>
      <c r="H184" s="207">
        <f t="shared" ca="1" si="36"/>
        <v>12.17124526928837</v>
      </c>
      <c r="I184" s="207">
        <f t="shared" ca="1" si="36"/>
        <v>13.510427080921138</v>
      </c>
      <c r="J184" s="207">
        <f t="shared" ca="1" si="36"/>
        <v>15.021149411455552</v>
      </c>
    </row>
    <row r="185" spans="2:12" x14ac:dyDescent="0.25">
      <c r="C185" s="58"/>
      <c r="D185" s="58"/>
      <c r="E185" s="58"/>
      <c r="F185" s="208"/>
      <c r="G185" s="208"/>
      <c r="H185" s="208"/>
      <c r="I185" s="208"/>
      <c r="J185" s="208"/>
      <c r="L185" s="209"/>
    </row>
    <row r="186" spans="2:12" x14ac:dyDescent="0.25">
      <c r="B186" t="s">
        <v>201</v>
      </c>
      <c r="C186" s="206">
        <v>10492</v>
      </c>
      <c r="D186" s="206">
        <v>10721</v>
      </c>
      <c r="E186" s="206">
        <v>10827</v>
      </c>
      <c r="F186" s="205">
        <f ca="1">F183+E186-E183</f>
        <v>10931.095735217998</v>
      </c>
      <c r="G186" s="205">
        <f t="shared" ref="G186:J186" ca="1" si="37">G183+F186-F183</f>
        <v>11031.78916288266</v>
      </c>
      <c r="H186" s="205">
        <f t="shared" ca="1" si="37"/>
        <v>11130.459055424972</v>
      </c>
      <c r="I186" s="205">
        <f t="shared" ca="1" si="37"/>
        <v>11227.14607780675</v>
      </c>
      <c r="J186" s="205">
        <f t="shared" ca="1" si="37"/>
        <v>11321.890077786749</v>
      </c>
    </row>
    <row r="187" spans="2:12" x14ac:dyDescent="0.25">
      <c r="B187" s="1" t="s">
        <v>202</v>
      </c>
      <c r="C187" s="207">
        <f>C182/C186</f>
        <v>2.8998284407167367</v>
      </c>
      <c r="D187" s="207">
        <f t="shared" ref="D187:J187" si="38">D182/D186</f>
        <v>5.5263501539035538</v>
      </c>
      <c r="E187" s="207">
        <f t="shared" si="38"/>
        <v>7.1737323358270988</v>
      </c>
      <c r="F187" s="207">
        <f t="shared" ca="1" si="38"/>
        <v>8.6541201369477534</v>
      </c>
      <c r="G187" s="207">
        <f t="shared" ca="1" si="38"/>
        <v>9.7275679357890361</v>
      </c>
      <c r="H187" s="207">
        <f t="shared" ca="1" si="38"/>
        <v>11.984255412833717</v>
      </c>
      <c r="I187" s="207">
        <f t="shared" ca="1" si="38"/>
        <v>13.304650562576521</v>
      </c>
      <c r="J187" s="207">
        <f t="shared" ca="1" si="38"/>
        <v>14.794277702605591</v>
      </c>
    </row>
    <row r="188" spans="2:12" x14ac:dyDescent="0.25">
      <c r="F188" s="210"/>
    </row>
    <row r="189" spans="2:12" x14ac:dyDescent="0.25">
      <c r="B189" t="s">
        <v>203</v>
      </c>
      <c r="F189" s="205">
        <f>-(F121)</f>
        <v>0</v>
      </c>
      <c r="G189" s="205">
        <f>-(G121)</f>
        <v>0</v>
      </c>
      <c r="H189" s="205">
        <f>-(H121)</f>
        <v>0</v>
      </c>
      <c r="I189" s="205">
        <f>-(I121)</f>
        <v>0</v>
      </c>
      <c r="J189" s="205">
        <f>-(J121)</f>
        <v>0</v>
      </c>
    </row>
    <row r="190" spans="2:12" x14ac:dyDescent="0.25">
      <c r="B190" t="s">
        <v>204</v>
      </c>
      <c r="F190" s="211">
        <f ca="1">F35</f>
        <v>21860.104395779999</v>
      </c>
      <c r="G190" s="211">
        <f ca="1">G35</f>
        <v>24317.462781015511</v>
      </c>
      <c r="H190" s="211">
        <f ca="1">H35</f>
        <v>27403.095906313454</v>
      </c>
      <c r="I190" s="211">
        <f ca="1">I35</f>
        <v>30880.263784627205</v>
      </c>
      <c r="J190" s="211">
        <f ca="1">J35</f>
        <v>34798.648104153035</v>
      </c>
    </row>
    <row r="191" spans="2:12" x14ac:dyDescent="0.25">
      <c r="B191" t="s">
        <v>205</v>
      </c>
      <c r="F191" s="212">
        <v>210</v>
      </c>
      <c r="G191" s="213">
        <f>F191*(1+G192)</f>
        <v>241.49999999999997</v>
      </c>
      <c r="H191" s="213">
        <f>G191*(1+H192)</f>
        <v>277.72499999999997</v>
      </c>
      <c r="I191" s="213">
        <f>H191*(1+I192)</f>
        <v>319.38374999999996</v>
      </c>
      <c r="J191" s="213">
        <f>I191*(1+J192)</f>
        <v>367.29131249999995</v>
      </c>
    </row>
    <row r="192" spans="2:12" x14ac:dyDescent="0.25">
      <c r="B192" t="s">
        <v>206</v>
      </c>
      <c r="G192" s="214">
        <v>0.15</v>
      </c>
      <c r="H192" s="214">
        <v>0.15</v>
      </c>
      <c r="I192" s="214">
        <v>0.15</v>
      </c>
      <c r="J192" s="214">
        <v>0.15</v>
      </c>
    </row>
    <row r="193" spans="2:12" ht="15.75" thickBot="1" x14ac:dyDescent="0.3">
      <c r="B193" s="215" t="s">
        <v>207</v>
      </c>
      <c r="C193" s="186"/>
      <c r="D193" s="186"/>
      <c r="E193" s="186"/>
      <c r="F193" s="186"/>
      <c r="G193" s="186"/>
      <c r="H193" s="186"/>
      <c r="I193" s="186"/>
      <c r="J193" s="186"/>
    </row>
    <row r="194" spans="2:12" ht="15" customHeight="1" x14ac:dyDescent="0.25">
      <c r="B194" s="1" t="s">
        <v>208</v>
      </c>
      <c r="C194" s="1"/>
      <c r="D194" s="1"/>
      <c r="E194" s="81" t="s">
        <v>209</v>
      </c>
      <c r="F194" s="216">
        <f>C11</f>
        <v>10734.92087</v>
      </c>
      <c r="G194" s="217">
        <f ca="1">F196</f>
        <v>10839.016605217999</v>
      </c>
      <c r="H194" s="217">
        <f t="shared" ref="H194:J194" ca="1" si="39">G196</f>
        <v>10939.71003288266</v>
      </c>
      <c r="I194" s="217">
        <f t="shared" ca="1" si="39"/>
        <v>11038.379925424972</v>
      </c>
      <c r="J194" s="217">
        <f t="shared" ca="1" si="39"/>
        <v>11135.066947806752</v>
      </c>
    </row>
    <row r="195" spans="2:12" x14ac:dyDescent="0.25">
      <c r="B195" t="s">
        <v>210</v>
      </c>
      <c r="F195" s="205">
        <f ca="1">(-F189+F190)/F191</f>
        <v>104.095735218</v>
      </c>
      <c r="G195" s="205">
        <f t="shared" ref="G195:J195" ca="1" si="40">(-G189+G190)/G191</f>
        <v>100.69342766466052</v>
      </c>
      <c r="H195" s="205">
        <f t="shared" ca="1" si="40"/>
        <v>98.669892542311487</v>
      </c>
      <c r="I195" s="205">
        <f t="shared" ca="1" si="40"/>
        <v>96.68702238178119</v>
      </c>
      <c r="J195" s="205">
        <f t="shared" ca="1" si="40"/>
        <v>94.743999979996914</v>
      </c>
    </row>
    <row r="196" spans="2:12" x14ac:dyDescent="0.25">
      <c r="B196" t="s">
        <v>211</v>
      </c>
      <c r="F196" s="205">
        <f ca="1">SUM(F194:F195)</f>
        <v>10839.016605217999</v>
      </c>
      <c r="G196" s="205">
        <f t="shared" ref="G196:J196" ca="1" si="41">SUM(G194:G195)</f>
        <v>10939.71003288266</v>
      </c>
      <c r="H196" s="205">
        <f t="shared" ca="1" si="41"/>
        <v>11038.379925424972</v>
      </c>
      <c r="I196" s="205">
        <f t="shared" ca="1" si="41"/>
        <v>11135.066947806752</v>
      </c>
      <c r="J196" s="205">
        <f t="shared" ca="1" si="41"/>
        <v>11229.810947786749</v>
      </c>
    </row>
    <row r="197" spans="2:12" x14ac:dyDescent="0.25">
      <c r="B197" s="1" t="s">
        <v>212</v>
      </c>
      <c r="C197" s="1"/>
      <c r="D197" s="1"/>
      <c r="E197" s="1"/>
      <c r="F197" s="217">
        <f ca="1">AVERAGE(F196,F194)</f>
        <v>10786.968737609001</v>
      </c>
      <c r="G197" s="217">
        <f t="shared" ref="G197:J197" ca="1" si="42">AVERAGE(G196,G194)</f>
        <v>10889.36331905033</v>
      </c>
      <c r="H197" s="217">
        <f t="shared" ca="1" si="42"/>
        <v>10989.044979153816</v>
      </c>
      <c r="I197" s="217">
        <f t="shared" ca="1" si="42"/>
        <v>11086.723436615863</v>
      </c>
      <c r="J197" s="217">
        <f t="shared" ca="1" si="42"/>
        <v>11182.438947796751</v>
      </c>
    </row>
    <row r="198" spans="2:12" ht="15.75" thickBot="1" x14ac:dyDescent="0.3">
      <c r="B198" s="215" t="s">
        <v>213</v>
      </c>
      <c r="C198" s="186"/>
      <c r="D198" s="186"/>
      <c r="E198" s="186"/>
      <c r="F198" s="186"/>
      <c r="G198" s="186"/>
      <c r="H198" s="186"/>
      <c r="I198" s="186"/>
      <c r="J198" s="186"/>
    </row>
    <row r="199" spans="2:12" x14ac:dyDescent="0.25">
      <c r="B199" s="1" t="s">
        <v>120</v>
      </c>
      <c r="C199" s="217">
        <f t="shared" ref="C199:J199" si="43">C31</f>
        <v>30425</v>
      </c>
      <c r="D199" s="217">
        <f t="shared" si="43"/>
        <v>59248</v>
      </c>
      <c r="E199" s="217">
        <f t="shared" si="43"/>
        <v>77670</v>
      </c>
      <c r="F199" s="217">
        <f t="shared" ca="1" si="43"/>
        <v>94599.015721053787</v>
      </c>
      <c r="G199" s="217">
        <f t="shared" ca="1" si="43"/>
        <v>107312.47853524234</v>
      </c>
      <c r="H199" s="217">
        <f t="shared" ca="1" si="43"/>
        <v>133390.26418230077</v>
      </c>
      <c r="I199" s="217">
        <f t="shared" ca="1" si="43"/>
        <v>149373.25538022036</v>
      </c>
      <c r="J199" s="217">
        <f t="shared" ca="1" si="43"/>
        <v>167499.18592915198</v>
      </c>
    </row>
    <row r="200" spans="2:12" x14ac:dyDescent="0.25">
      <c r="B200" s="26" t="s">
        <v>214</v>
      </c>
      <c r="D200" s="218">
        <f>D199/C199-1</f>
        <v>0.9473459326211997</v>
      </c>
      <c r="E200" s="219">
        <f t="shared" ref="E200:J200" si="44">E199/D199-1</f>
        <v>0.31093032676208487</v>
      </c>
      <c r="F200" s="219">
        <f t="shared" ca="1" si="44"/>
        <v>0.2179608049575612</v>
      </c>
      <c r="G200" s="219">
        <f t="shared" ca="1" si="44"/>
        <v>0.13439318281785306</v>
      </c>
      <c r="H200" s="219">
        <f t="shared" ca="1" si="44"/>
        <v>0.24300795213199988</v>
      </c>
      <c r="I200" s="219">
        <f t="shared" ca="1" si="44"/>
        <v>0.11982127253362429</v>
      </c>
      <c r="J200" s="219">
        <f t="shared" ca="1" si="44"/>
        <v>0.12134655901281111</v>
      </c>
    </row>
    <row r="202" spans="2:12" x14ac:dyDescent="0.25">
      <c r="L202" s="53"/>
    </row>
    <row r="203" spans="2:12" x14ac:dyDescent="0.25">
      <c r="F203" s="210"/>
    </row>
  </sheetData>
  <conditionalFormatting sqref="B42">
    <cfRule type="expression" dxfId="3" priority="3">
      <formula>#REF!=$B42</formula>
    </cfRule>
  </conditionalFormatting>
  <conditionalFormatting sqref="B159">
    <cfRule type="expression" dxfId="2" priority="1">
      <formula>#REF!=$B159</formula>
    </cfRule>
  </conditionalFormatting>
  <conditionalFormatting sqref="B173">
    <cfRule type="expression" dxfId="1" priority="2">
      <formula>#REF!=$B173</formula>
    </cfRule>
  </conditionalFormatting>
  <dataValidations disablePrompts="1" count="2">
    <dataValidation type="list" allowBlank="1" showInputMessage="1" showErrorMessage="1" sqref="C7" xr:uid="{BE2A2299-7332-4913-9071-723C3DB9C116}">
      <formula1>"0,1"</formula1>
    </dataValidation>
    <dataValidation type="list" allowBlank="1" showInputMessage="1" showErrorMessage="1" sqref="C12" xr:uid="{149E94D3-08DC-47E5-AF39-C50CF635E0CF}">
      <formula1>$B$162:$B$164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</vt:lpstr>
      <vt:lpstr>WACC</vt:lpstr>
      <vt:lpstr>3 Statement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Bashir</dc:creator>
  <cp:lastModifiedBy>Amgad Bashir</cp:lastModifiedBy>
  <dcterms:created xsi:type="dcterms:W3CDTF">2026-02-15T23:16:34Z</dcterms:created>
  <dcterms:modified xsi:type="dcterms:W3CDTF">2026-02-16T18:58:17Z</dcterms:modified>
</cp:coreProperties>
</file>